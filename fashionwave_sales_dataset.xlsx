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Videos\"/>
    </mc:Choice>
  </mc:AlternateContent>
  <xr:revisionPtr revIDLastSave="0" documentId="13_ncr:1_{EABB659E-5D23-4C5E-831C-692ABEBA8C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vneue by Product catgory" sheetId="4" r:id="rId1"/>
    <sheet name="Revenue vs Profit vs Margin" sheetId="5" r:id="rId2"/>
    <sheet name="Discount Brand vs Profir Margin" sheetId="9" r:id="rId3"/>
    <sheet name="Reveneue by Month &amp; Year" sheetId="10" r:id="rId4"/>
    <sheet name="Top 10 Revenue stores" sheetId="11" r:id="rId5"/>
    <sheet name="Sheet8" sheetId="12" r:id="rId6"/>
    <sheet name="Sheet1" sheetId="1" r:id="rId7"/>
    <sheet name="Sales Comparision by Days" sheetId="3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2" i="1"/>
  <c r="O20" i="1"/>
  <c r="P20" i="1" s="1"/>
  <c r="O84" i="1"/>
  <c r="P84" i="1" s="1"/>
  <c r="O148" i="1"/>
  <c r="P148" i="1" s="1"/>
  <c r="O212" i="1"/>
  <c r="P212" i="1" s="1"/>
  <c r="O276" i="1"/>
  <c r="P276" i="1" s="1"/>
  <c r="O340" i="1"/>
  <c r="P340" i="1" s="1"/>
  <c r="O373" i="1"/>
  <c r="P373" i="1" s="1"/>
  <c r="O389" i="1"/>
  <c r="P389" i="1" s="1"/>
  <c r="O405" i="1"/>
  <c r="P405" i="1" s="1"/>
  <c r="O421" i="1"/>
  <c r="P421" i="1" s="1"/>
  <c r="O437" i="1"/>
  <c r="P437" i="1" s="1"/>
  <c r="O453" i="1"/>
  <c r="P453" i="1" s="1"/>
  <c r="O469" i="1"/>
  <c r="P469" i="1" s="1"/>
  <c r="O485" i="1"/>
  <c r="P485" i="1" s="1"/>
  <c r="O501" i="1"/>
  <c r="P501" i="1" s="1"/>
  <c r="O517" i="1"/>
  <c r="P517" i="1" s="1"/>
  <c r="O529" i="1"/>
  <c r="P529" i="1" s="1"/>
  <c r="O537" i="1"/>
  <c r="P537" i="1" s="1"/>
  <c r="O545" i="1"/>
  <c r="P545" i="1" s="1"/>
  <c r="O553" i="1"/>
  <c r="P553" i="1" s="1"/>
  <c r="O561" i="1"/>
  <c r="P561" i="1" s="1"/>
  <c r="O569" i="1"/>
  <c r="P569" i="1" s="1"/>
  <c r="O577" i="1"/>
  <c r="P577" i="1" s="1"/>
  <c r="O585" i="1"/>
  <c r="P585" i="1" s="1"/>
  <c r="O593" i="1"/>
  <c r="P593" i="1" s="1"/>
  <c r="O601" i="1"/>
  <c r="P601" i="1" s="1"/>
  <c r="O609" i="1"/>
  <c r="P609" i="1" s="1"/>
  <c r="O617" i="1"/>
  <c r="P617" i="1" s="1"/>
  <c r="O625" i="1"/>
  <c r="P625" i="1" s="1"/>
  <c r="O633" i="1"/>
  <c r="P633" i="1" s="1"/>
  <c r="O641" i="1"/>
  <c r="P641" i="1" s="1"/>
  <c r="O649" i="1"/>
  <c r="P649" i="1" s="1"/>
  <c r="O657" i="1"/>
  <c r="P657" i="1" s="1"/>
  <c r="O665" i="1"/>
  <c r="P665" i="1" s="1"/>
  <c r="O673" i="1"/>
  <c r="P673" i="1" s="1"/>
  <c r="O681" i="1"/>
  <c r="P681" i="1" s="1"/>
  <c r="O689" i="1"/>
  <c r="P689" i="1" s="1"/>
  <c r="O697" i="1"/>
  <c r="P697" i="1" s="1"/>
  <c r="M3" i="1"/>
  <c r="M4" i="1"/>
  <c r="M5" i="1"/>
  <c r="M6" i="1"/>
  <c r="M7" i="1"/>
  <c r="M8" i="1"/>
  <c r="M9" i="1"/>
  <c r="M10" i="1"/>
  <c r="M11" i="1"/>
  <c r="M12" i="1"/>
  <c r="M13" i="1"/>
  <c r="M14" i="1"/>
  <c r="O14" i="1" s="1"/>
  <c r="P14" i="1" s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O36" i="1" s="1"/>
  <c r="P36" i="1" s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O62" i="1" s="1"/>
  <c r="P62" i="1" s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O78" i="1" s="1"/>
  <c r="P78" i="1" s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O100" i="1" s="1"/>
  <c r="P100" i="1" s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O126" i="1" s="1"/>
  <c r="P126" i="1" s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O142" i="1" s="1"/>
  <c r="P142" i="1" s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O164" i="1" s="1"/>
  <c r="P164" i="1" s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O190" i="1" s="1"/>
  <c r="P190" i="1" s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O206" i="1" s="1"/>
  <c r="P206" i="1" s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O228" i="1" s="1"/>
  <c r="P228" i="1" s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O254" i="1" s="1"/>
  <c r="P254" i="1" s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O270" i="1" s="1"/>
  <c r="P270" i="1" s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O292" i="1" s="1"/>
  <c r="P292" i="1" s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O318" i="1" s="1"/>
  <c r="P318" i="1" s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O334" i="1" s="1"/>
  <c r="P334" i="1" s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O356" i="1" s="1"/>
  <c r="P356" i="1" s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O527" i="1" s="1"/>
  <c r="P527" i="1" s="1"/>
  <c r="M528" i="1"/>
  <c r="M529" i="1"/>
  <c r="M530" i="1"/>
  <c r="M531" i="1"/>
  <c r="M532" i="1"/>
  <c r="M533" i="1"/>
  <c r="M534" i="1"/>
  <c r="M535" i="1"/>
  <c r="O535" i="1" s="1"/>
  <c r="P535" i="1" s="1"/>
  <c r="M536" i="1"/>
  <c r="M537" i="1"/>
  <c r="M538" i="1"/>
  <c r="M539" i="1"/>
  <c r="M540" i="1"/>
  <c r="M541" i="1"/>
  <c r="M542" i="1"/>
  <c r="M543" i="1"/>
  <c r="O543" i="1" s="1"/>
  <c r="P543" i="1" s="1"/>
  <c r="M544" i="1"/>
  <c r="M545" i="1"/>
  <c r="M546" i="1"/>
  <c r="M547" i="1"/>
  <c r="M548" i="1"/>
  <c r="M549" i="1"/>
  <c r="M550" i="1"/>
  <c r="M551" i="1"/>
  <c r="O551" i="1" s="1"/>
  <c r="P551" i="1" s="1"/>
  <c r="M552" i="1"/>
  <c r="M553" i="1"/>
  <c r="M554" i="1"/>
  <c r="M555" i="1"/>
  <c r="M556" i="1"/>
  <c r="M557" i="1"/>
  <c r="M558" i="1"/>
  <c r="M559" i="1"/>
  <c r="O559" i="1" s="1"/>
  <c r="P559" i="1" s="1"/>
  <c r="M560" i="1"/>
  <c r="M561" i="1"/>
  <c r="M562" i="1"/>
  <c r="M563" i="1"/>
  <c r="M564" i="1"/>
  <c r="M565" i="1"/>
  <c r="M566" i="1"/>
  <c r="M567" i="1"/>
  <c r="O567" i="1" s="1"/>
  <c r="P567" i="1" s="1"/>
  <c r="M568" i="1"/>
  <c r="M569" i="1"/>
  <c r="M570" i="1"/>
  <c r="M571" i="1"/>
  <c r="M572" i="1"/>
  <c r="M573" i="1"/>
  <c r="M574" i="1"/>
  <c r="M575" i="1"/>
  <c r="O575" i="1" s="1"/>
  <c r="P575" i="1" s="1"/>
  <c r="M576" i="1"/>
  <c r="M577" i="1"/>
  <c r="M578" i="1"/>
  <c r="M579" i="1"/>
  <c r="M580" i="1"/>
  <c r="M581" i="1"/>
  <c r="M582" i="1"/>
  <c r="M583" i="1"/>
  <c r="O583" i="1" s="1"/>
  <c r="P583" i="1" s="1"/>
  <c r="M584" i="1"/>
  <c r="M585" i="1"/>
  <c r="M586" i="1"/>
  <c r="M587" i="1"/>
  <c r="M588" i="1"/>
  <c r="M589" i="1"/>
  <c r="M590" i="1"/>
  <c r="M591" i="1"/>
  <c r="O591" i="1" s="1"/>
  <c r="P591" i="1" s="1"/>
  <c r="M592" i="1"/>
  <c r="M593" i="1"/>
  <c r="M594" i="1"/>
  <c r="M595" i="1"/>
  <c r="M596" i="1"/>
  <c r="M597" i="1"/>
  <c r="M598" i="1"/>
  <c r="M599" i="1"/>
  <c r="O599" i="1" s="1"/>
  <c r="P599" i="1" s="1"/>
  <c r="M600" i="1"/>
  <c r="M601" i="1"/>
  <c r="M602" i="1"/>
  <c r="M603" i="1"/>
  <c r="M604" i="1"/>
  <c r="M605" i="1"/>
  <c r="M606" i="1"/>
  <c r="M607" i="1"/>
  <c r="O607" i="1" s="1"/>
  <c r="P607" i="1" s="1"/>
  <c r="M608" i="1"/>
  <c r="M609" i="1"/>
  <c r="M610" i="1"/>
  <c r="M611" i="1"/>
  <c r="M612" i="1"/>
  <c r="M613" i="1"/>
  <c r="M614" i="1"/>
  <c r="M615" i="1"/>
  <c r="O615" i="1" s="1"/>
  <c r="P615" i="1" s="1"/>
  <c r="M616" i="1"/>
  <c r="M617" i="1"/>
  <c r="M618" i="1"/>
  <c r="M619" i="1"/>
  <c r="M620" i="1"/>
  <c r="M621" i="1"/>
  <c r="M622" i="1"/>
  <c r="M623" i="1"/>
  <c r="O623" i="1" s="1"/>
  <c r="P623" i="1" s="1"/>
  <c r="M624" i="1"/>
  <c r="M625" i="1"/>
  <c r="M626" i="1"/>
  <c r="M627" i="1"/>
  <c r="M628" i="1"/>
  <c r="M629" i="1"/>
  <c r="M630" i="1"/>
  <c r="M631" i="1"/>
  <c r="O631" i="1" s="1"/>
  <c r="P631" i="1" s="1"/>
  <c r="M632" i="1"/>
  <c r="M633" i="1"/>
  <c r="M634" i="1"/>
  <c r="M635" i="1"/>
  <c r="M636" i="1"/>
  <c r="M637" i="1"/>
  <c r="M638" i="1"/>
  <c r="M639" i="1"/>
  <c r="O639" i="1" s="1"/>
  <c r="P639" i="1" s="1"/>
  <c r="M640" i="1"/>
  <c r="M641" i="1"/>
  <c r="M642" i="1"/>
  <c r="M643" i="1"/>
  <c r="M644" i="1"/>
  <c r="M645" i="1"/>
  <c r="M646" i="1"/>
  <c r="M647" i="1"/>
  <c r="O647" i="1" s="1"/>
  <c r="P647" i="1" s="1"/>
  <c r="M648" i="1"/>
  <c r="M649" i="1"/>
  <c r="M650" i="1"/>
  <c r="M651" i="1"/>
  <c r="M652" i="1"/>
  <c r="M653" i="1"/>
  <c r="M654" i="1"/>
  <c r="M655" i="1"/>
  <c r="O655" i="1" s="1"/>
  <c r="P655" i="1" s="1"/>
  <c r="M656" i="1"/>
  <c r="M657" i="1"/>
  <c r="M658" i="1"/>
  <c r="M659" i="1"/>
  <c r="M660" i="1"/>
  <c r="M661" i="1"/>
  <c r="M662" i="1"/>
  <c r="M663" i="1"/>
  <c r="O663" i="1" s="1"/>
  <c r="P663" i="1" s="1"/>
  <c r="M664" i="1"/>
  <c r="M665" i="1"/>
  <c r="M666" i="1"/>
  <c r="M667" i="1"/>
  <c r="M668" i="1"/>
  <c r="M669" i="1"/>
  <c r="M670" i="1"/>
  <c r="M671" i="1"/>
  <c r="O671" i="1" s="1"/>
  <c r="P671" i="1" s="1"/>
  <c r="M672" i="1"/>
  <c r="M673" i="1"/>
  <c r="M674" i="1"/>
  <c r="M675" i="1"/>
  <c r="M676" i="1"/>
  <c r="M677" i="1"/>
  <c r="M678" i="1"/>
  <c r="M679" i="1"/>
  <c r="O679" i="1" s="1"/>
  <c r="P679" i="1" s="1"/>
  <c r="M680" i="1"/>
  <c r="M681" i="1"/>
  <c r="M682" i="1"/>
  <c r="M683" i="1"/>
  <c r="M684" i="1"/>
  <c r="M685" i="1"/>
  <c r="M686" i="1"/>
  <c r="M687" i="1"/>
  <c r="O687" i="1" s="1"/>
  <c r="P687" i="1" s="1"/>
  <c r="M688" i="1"/>
  <c r="M689" i="1"/>
  <c r="M690" i="1"/>
  <c r="M691" i="1"/>
  <c r="M692" i="1"/>
  <c r="M693" i="1"/>
  <c r="M694" i="1"/>
  <c r="M695" i="1"/>
  <c r="O695" i="1" s="1"/>
  <c r="P695" i="1" s="1"/>
  <c r="M696" i="1"/>
  <c r="M697" i="1"/>
  <c r="M698" i="1"/>
  <c r="M699" i="1"/>
  <c r="M700" i="1"/>
  <c r="M701" i="1"/>
  <c r="M2" i="1"/>
  <c r="N3" i="1"/>
  <c r="O3" i="1" s="1"/>
  <c r="P3" i="1" s="1"/>
  <c r="N4" i="1"/>
  <c r="O4" i="1" s="1"/>
  <c r="P4" i="1" s="1"/>
  <c r="N5" i="1"/>
  <c r="O5" i="1" s="1"/>
  <c r="P5" i="1" s="1"/>
  <c r="N6" i="1"/>
  <c r="O6" i="1" s="1"/>
  <c r="P6" i="1" s="1"/>
  <c r="N7" i="1"/>
  <c r="N8" i="1"/>
  <c r="O8" i="1" s="1"/>
  <c r="P8" i="1" s="1"/>
  <c r="N9" i="1"/>
  <c r="O9" i="1" s="1"/>
  <c r="P9" i="1" s="1"/>
  <c r="N10" i="1"/>
  <c r="O10" i="1" s="1"/>
  <c r="P10" i="1" s="1"/>
  <c r="N11" i="1"/>
  <c r="O11" i="1" s="1"/>
  <c r="P11" i="1" s="1"/>
  <c r="N12" i="1"/>
  <c r="O12" i="1" s="1"/>
  <c r="P12" i="1" s="1"/>
  <c r="N13" i="1"/>
  <c r="O13" i="1" s="1"/>
  <c r="P13" i="1" s="1"/>
  <c r="N14" i="1"/>
  <c r="N15" i="1"/>
  <c r="N16" i="1"/>
  <c r="O16" i="1" s="1"/>
  <c r="P16" i="1" s="1"/>
  <c r="N17" i="1"/>
  <c r="O17" i="1" s="1"/>
  <c r="P17" i="1" s="1"/>
  <c r="N18" i="1"/>
  <c r="O18" i="1" s="1"/>
  <c r="P18" i="1" s="1"/>
  <c r="N19" i="1"/>
  <c r="O19" i="1" s="1"/>
  <c r="P19" i="1" s="1"/>
  <c r="N20" i="1"/>
  <c r="N21" i="1"/>
  <c r="O21" i="1" s="1"/>
  <c r="P21" i="1" s="1"/>
  <c r="N22" i="1"/>
  <c r="O22" i="1" s="1"/>
  <c r="P22" i="1" s="1"/>
  <c r="N23" i="1"/>
  <c r="N24" i="1"/>
  <c r="O24" i="1" s="1"/>
  <c r="P24" i="1" s="1"/>
  <c r="N25" i="1"/>
  <c r="O25" i="1" s="1"/>
  <c r="P25" i="1" s="1"/>
  <c r="N26" i="1"/>
  <c r="O26" i="1" s="1"/>
  <c r="P26" i="1" s="1"/>
  <c r="N27" i="1"/>
  <c r="O27" i="1" s="1"/>
  <c r="P27" i="1" s="1"/>
  <c r="N28" i="1"/>
  <c r="O28" i="1" s="1"/>
  <c r="P28" i="1" s="1"/>
  <c r="N29" i="1"/>
  <c r="O29" i="1" s="1"/>
  <c r="P29" i="1" s="1"/>
  <c r="N30" i="1"/>
  <c r="O30" i="1" s="1"/>
  <c r="P30" i="1" s="1"/>
  <c r="N31" i="1"/>
  <c r="N32" i="1"/>
  <c r="O32" i="1" s="1"/>
  <c r="P32" i="1" s="1"/>
  <c r="N33" i="1"/>
  <c r="O33" i="1" s="1"/>
  <c r="P33" i="1" s="1"/>
  <c r="N34" i="1"/>
  <c r="O34" i="1" s="1"/>
  <c r="P34" i="1" s="1"/>
  <c r="N35" i="1"/>
  <c r="O35" i="1" s="1"/>
  <c r="P35" i="1" s="1"/>
  <c r="N36" i="1"/>
  <c r="N37" i="1"/>
  <c r="O37" i="1" s="1"/>
  <c r="P37" i="1" s="1"/>
  <c r="N38" i="1"/>
  <c r="O38" i="1" s="1"/>
  <c r="P38" i="1" s="1"/>
  <c r="N39" i="1"/>
  <c r="N40" i="1"/>
  <c r="O40" i="1" s="1"/>
  <c r="P40" i="1" s="1"/>
  <c r="N41" i="1"/>
  <c r="O41" i="1" s="1"/>
  <c r="P41" i="1" s="1"/>
  <c r="N42" i="1"/>
  <c r="O42" i="1" s="1"/>
  <c r="P42" i="1" s="1"/>
  <c r="N43" i="1"/>
  <c r="O43" i="1" s="1"/>
  <c r="P43" i="1" s="1"/>
  <c r="N44" i="1"/>
  <c r="O44" i="1" s="1"/>
  <c r="P44" i="1" s="1"/>
  <c r="N45" i="1"/>
  <c r="O45" i="1" s="1"/>
  <c r="P45" i="1" s="1"/>
  <c r="N46" i="1"/>
  <c r="O46" i="1" s="1"/>
  <c r="P46" i="1" s="1"/>
  <c r="N47" i="1"/>
  <c r="N48" i="1"/>
  <c r="O48" i="1" s="1"/>
  <c r="P48" i="1" s="1"/>
  <c r="N49" i="1"/>
  <c r="O49" i="1" s="1"/>
  <c r="P49" i="1" s="1"/>
  <c r="N50" i="1"/>
  <c r="O50" i="1" s="1"/>
  <c r="P50" i="1" s="1"/>
  <c r="N51" i="1"/>
  <c r="O51" i="1" s="1"/>
  <c r="P51" i="1" s="1"/>
  <c r="N52" i="1"/>
  <c r="O52" i="1" s="1"/>
  <c r="P52" i="1" s="1"/>
  <c r="N53" i="1"/>
  <c r="O53" i="1" s="1"/>
  <c r="P53" i="1" s="1"/>
  <c r="N54" i="1"/>
  <c r="O54" i="1" s="1"/>
  <c r="P54" i="1" s="1"/>
  <c r="N55" i="1"/>
  <c r="N56" i="1"/>
  <c r="O56" i="1" s="1"/>
  <c r="P56" i="1" s="1"/>
  <c r="N57" i="1"/>
  <c r="O57" i="1" s="1"/>
  <c r="P57" i="1" s="1"/>
  <c r="N58" i="1"/>
  <c r="O58" i="1" s="1"/>
  <c r="P58" i="1" s="1"/>
  <c r="N59" i="1"/>
  <c r="O59" i="1" s="1"/>
  <c r="P59" i="1" s="1"/>
  <c r="N60" i="1"/>
  <c r="O60" i="1" s="1"/>
  <c r="P60" i="1" s="1"/>
  <c r="N61" i="1"/>
  <c r="O61" i="1" s="1"/>
  <c r="P61" i="1" s="1"/>
  <c r="N62" i="1"/>
  <c r="N63" i="1"/>
  <c r="N64" i="1"/>
  <c r="O64" i="1" s="1"/>
  <c r="P64" i="1" s="1"/>
  <c r="N65" i="1"/>
  <c r="O65" i="1" s="1"/>
  <c r="P65" i="1" s="1"/>
  <c r="N66" i="1"/>
  <c r="O66" i="1" s="1"/>
  <c r="P66" i="1" s="1"/>
  <c r="N67" i="1"/>
  <c r="O67" i="1" s="1"/>
  <c r="P67" i="1" s="1"/>
  <c r="N68" i="1"/>
  <c r="O68" i="1" s="1"/>
  <c r="P68" i="1" s="1"/>
  <c r="N69" i="1"/>
  <c r="O69" i="1" s="1"/>
  <c r="P69" i="1" s="1"/>
  <c r="N70" i="1"/>
  <c r="O70" i="1" s="1"/>
  <c r="P70" i="1" s="1"/>
  <c r="N71" i="1"/>
  <c r="N72" i="1"/>
  <c r="O72" i="1" s="1"/>
  <c r="P72" i="1" s="1"/>
  <c r="N73" i="1"/>
  <c r="O73" i="1" s="1"/>
  <c r="P73" i="1" s="1"/>
  <c r="N74" i="1"/>
  <c r="O74" i="1" s="1"/>
  <c r="P74" i="1" s="1"/>
  <c r="N75" i="1"/>
  <c r="O75" i="1" s="1"/>
  <c r="P75" i="1" s="1"/>
  <c r="N76" i="1"/>
  <c r="O76" i="1" s="1"/>
  <c r="P76" i="1" s="1"/>
  <c r="N77" i="1"/>
  <c r="O77" i="1" s="1"/>
  <c r="P77" i="1" s="1"/>
  <c r="N78" i="1"/>
  <c r="N79" i="1"/>
  <c r="N80" i="1"/>
  <c r="O80" i="1" s="1"/>
  <c r="P80" i="1" s="1"/>
  <c r="N81" i="1"/>
  <c r="O81" i="1" s="1"/>
  <c r="P81" i="1" s="1"/>
  <c r="N82" i="1"/>
  <c r="O82" i="1" s="1"/>
  <c r="P82" i="1" s="1"/>
  <c r="N83" i="1"/>
  <c r="O83" i="1" s="1"/>
  <c r="P83" i="1" s="1"/>
  <c r="N84" i="1"/>
  <c r="N85" i="1"/>
  <c r="O85" i="1" s="1"/>
  <c r="P85" i="1" s="1"/>
  <c r="N86" i="1"/>
  <c r="O86" i="1" s="1"/>
  <c r="P86" i="1" s="1"/>
  <c r="N87" i="1"/>
  <c r="N88" i="1"/>
  <c r="O88" i="1" s="1"/>
  <c r="P88" i="1" s="1"/>
  <c r="N89" i="1"/>
  <c r="O89" i="1" s="1"/>
  <c r="P89" i="1" s="1"/>
  <c r="N90" i="1"/>
  <c r="O90" i="1" s="1"/>
  <c r="P90" i="1" s="1"/>
  <c r="N91" i="1"/>
  <c r="O91" i="1" s="1"/>
  <c r="P91" i="1" s="1"/>
  <c r="N92" i="1"/>
  <c r="O92" i="1" s="1"/>
  <c r="P92" i="1" s="1"/>
  <c r="N93" i="1"/>
  <c r="O93" i="1" s="1"/>
  <c r="P93" i="1" s="1"/>
  <c r="N94" i="1"/>
  <c r="O94" i="1" s="1"/>
  <c r="P94" i="1" s="1"/>
  <c r="N95" i="1"/>
  <c r="N96" i="1"/>
  <c r="O96" i="1" s="1"/>
  <c r="P96" i="1" s="1"/>
  <c r="N97" i="1"/>
  <c r="O97" i="1" s="1"/>
  <c r="P97" i="1" s="1"/>
  <c r="N98" i="1"/>
  <c r="O98" i="1" s="1"/>
  <c r="P98" i="1" s="1"/>
  <c r="N99" i="1"/>
  <c r="O99" i="1" s="1"/>
  <c r="P99" i="1" s="1"/>
  <c r="N100" i="1"/>
  <c r="N101" i="1"/>
  <c r="O101" i="1" s="1"/>
  <c r="P101" i="1" s="1"/>
  <c r="N102" i="1"/>
  <c r="O102" i="1" s="1"/>
  <c r="P102" i="1" s="1"/>
  <c r="N103" i="1"/>
  <c r="N104" i="1"/>
  <c r="O104" i="1" s="1"/>
  <c r="P104" i="1" s="1"/>
  <c r="N105" i="1"/>
  <c r="O105" i="1" s="1"/>
  <c r="P105" i="1" s="1"/>
  <c r="N106" i="1"/>
  <c r="O106" i="1" s="1"/>
  <c r="P106" i="1" s="1"/>
  <c r="N107" i="1"/>
  <c r="O107" i="1" s="1"/>
  <c r="P107" i="1" s="1"/>
  <c r="N108" i="1"/>
  <c r="O108" i="1" s="1"/>
  <c r="P108" i="1" s="1"/>
  <c r="N109" i="1"/>
  <c r="O109" i="1" s="1"/>
  <c r="P109" i="1" s="1"/>
  <c r="N110" i="1"/>
  <c r="O110" i="1" s="1"/>
  <c r="P110" i="1" s="1"/>
  <c r="N111" i="1"/>
  <c r="N112" i="1"/>
  <c r="O112" i="1" s="1"/>
  <c r="P112" i="1" s="1"/>
  <c r="N113" i="1"/>
  <c r="O113" i="1" s="1"/>
  <c r="P113" i="1" s="1"/>
  <c r="N114" i="1"/>
  <c r="O114" i="1" s="1"/>
  <c r="P114" i="1" s="1"/>
  <c r="N115" i="1"/>
  <c r="O115" i="1" s="1"/>
  <c r="P115" i="1" s="1"/>
  <c r="N116" i="1"/>
  <c r="O116" i="1" s="1"/>
  <c r="P116" i="1" s="1"/>
  <c r="N117" i="1"/>
  <c r="O117" i="1" s="1"/>
  <c r="P117" i="1" s="1"/>
  <c r="N118" i="1"/>
  <c r="O118" i="1" s="1"/>
  <c r="P118" i="1" s="1"/>
  <c r="N119" i="1"/>
  <c r="N120" i="1"/>
  <c r="O120" i="1" s="1"/>
  <c r="P120" i="1" s="1"/>
  <c r="N121" i="1"/>
  <c r="O121" i="1" s="1"/>
  <c r="P121" i="1" s="1"/>
  <c r="N122" i="1"/>
  <c r="O122" i="1" s="1"/>
  <c r="P122" i="1" s="1"/>
  <c r="N123" i="1"/>
  <c r="O123" i="1" s="1"/>
  <c r="P123" i="1" s="1"/>
  <c r="N124" i="1"/>
  <c r="O124" i="1" s="1"/>
  <c r="P124" i="1" s="1"/>
  <c r="N125" i="1"/>
  <c r="O125" i="1" s="1"/>
  <c r="P125" i="1" s="1"/>
  <c r="N126" i="1"/>
  <c r="N127" i="1"/>
  <c r="N128" i="1"/>
  <c r="O128" i="1" s="1"/>
  <c r="P128" i="1" s="1"/>
  <c r="N129" i="1"/>
  <c r="O129" i="1" s="1"/>
  <c r="P129" i="1" s="1"/>
  <c r="N130" i="1"/>
  <c r="O130" i="1" s="1"/>
  <c r="P130" i="1" s="1"/>
  <c r="N131" i="1"/>
  <c r="O131" i="1" s="1"/>
  <c r="P131" i="1" s="1"/>
  <c r="N132" i="1"/>
  <c r="O132" i="1" s="1"/>
  <c r="P132" i="1" s="1"/>
  <c r="N133" i="1"/>
  <c r="O133" i="1" s="1"/>
  <c r="P133" i="1" s="1"/>
  <c r="N134" i="1"/>
  <c r="O134" i="1" s="1"/>
  <c r="P134" i="1" s="1"/>
  <c r="N135" i="1"/>
  <c r="N136" i="1"/>
  <c r="O136" i="1" s="1"/>
  <c r="P136" i="1" s="1"/>
  <c r="N137" i="1"/>
  <c r="O137" i="1" s="1"/>
  <c r="P137" i="1" s="1"/>
  <c r="N138" i="1"/>
  <c r="O138" i="1" s="1"/>
  <c r="P138" i="1" s="1"/>
  <c r="N139" i="1"/>
  <c r="O139" i="1" s="1"/>
  <c r="P139" i="1" s="1"/>
  <c r="N140" i="1"/>
  <c r="O140" i="1" s="1"/>
  <c r="P140" i="1" s="1"/>
  <c r="N141" i="1"/>
  <c r="O141" i="1" s="1"/>
  <c r="P141" i="1" s="1"/>
  <c r="N142" i="1"/>
  <c r="N143" i="1"/>
  <c r="N144" i="1"/>
  <c r="O144" i="1" s="1"/>
  <c r="P144" i="1" s="1"/>
  <c r="N145" i="1"/>
  <c r="O145" i="1" s="1"/>
  <c r="P145" i="1" s="1"/>
  <c r="N146" i="1"/>
  <c r="O146" i="1" s="1"/>
  <c r="P146" i="1" s="1"/>
  <c r="N147" i="1"/>
  <c r="O147" i="1" s="1"/>
  <c r="P147" i="1" s="1"/>
  <c r="N148" i="1"/>
  <c r="N149" i="1"/>
  <c r="O149" i="1" s="1"/>
  <c r="P149" i="1" s="1"/>
  <c r="N150" i="1"/>
  <c r="O150" i="1" s="1"/>
  <c r="P150" i="1" s="1"/>
  <c r="N151" i="1"/>
  <c r="N152" i="1"/>
  <c r="O152" i="1" s="1"/>
  <c r="P152" i="1" s="1"/>
  <c r="N153" i="1"/>
  <c r="O153" i="1" s="1"/>
  <c r="P153" i="1" s="1"/>
  <c r="N154" i="1"/>
  <c r="O154" i="1" s="1"/>
  <c r="P154" i="1" s="1"/>
  <c r="N155" i="1"/>
  <c r="O155" i="1" s="1"/>
  <c r="P155" i="1" s="1"/>
  <c r="N156" i="1"/>
  <c r="O156" i="1" s="1"/>
  <c r="P156" i="1" s="1"/>
  <c r="N157" i="1"/>
  <c r="O157" i="1" s="1"/>
  <c r="P157" i="1" s="1"/>
  <c r="N158" i="1"/>
  <c r="O158" i="1" s="1"/>
  <c r="P158" i="1" s="1"/>
  <c r="N159" i="1"/>
  <c r="N160" i="1"/>
  <c r="O160" i="1" s="1"/>
  <c r="P160" i="1" s="1"/>
  <c r="N161" i="1"/>
  <c r="O161" i="1" s="1"/>
  <c r="P161" i="1" s="1"/>
  <c r="N162" i="1"/>
  <c r="O162" i="1" s="1"/>
  <c r="P162" i="1" s="1"/>
  <c r="N163" i="1"/>
  <c r="O163" i="1" s="1"/>
  <c r="P163" i="1" s="1"/>
  <c r="N164" i="1"/>
  <c r="N165" i="1"/>
  <c r="O165" i="1" s="1"/>
  <c r="P165" i="1" s="1"/>
  <c r="N166" i="1"/>
  <c r="O166" i="1" s="1"/>
  <c r="P166" i="1" s="1"/>
  <c r="N167" i="1"/>
  <c r="N168" i="1"/>
  <c r="O168" i="1" s="1"/>
  <c r="P168" i="1" s="1"/>
  <c r="N169" i="1"/>
  <c r="O169" i="1" s="1"/>
  <c r="P169" i="1" s="1"/>
  <c r="N170" i="1"/>
  <c r="O170" i="1" s="1"/>
  <c r="P170" i="1" s="1"/>
  <c r="N171" i="1"/>
  <c r="O171" i="1" s="1"/>
  <c r="P171" i="1" s="1"/>
  <c r="N172" i="1"/>
  <c r="O172" i="1" s="1"/>
  <c r="P172" i="1" s="1"/>
  <c r="N173" i="1"/>
  <c r="O173" i="1" s="1"/>
  <c r="P173" i="1" s="1"/>
  <c r="N174" i="1"/>
  <c r="O174" i="1" s="1"/>
  <c r="P174" i="1" s="1"/>
  <c r="N175" i="1"/>
  <c r="N176" i="1"/>
  <c r="O176" i="1" s="1"/>
  <c r="P176" i="1" s="1"/>
  <c r="N177" i="1"/>
  <c r="O177" i="1" s="1"/>
  <c r="P177" i="1" s="1"/>
  <c r="N178" i="1"/>
  <c r="O178" i="1" s="1"/>
  <c r="P178" i="1" s="1"/>
  <c r="N179" i="1"/>
  <c r="O179" i="1" s="1"/>
  <c r="P179" i="1" s="1"/>
  <c r="N180" i="1"/>
  <c r="O180" i="1" s="1"/>
  <c r="P180" i="1" s="1"/>
  <c r="N181" i="1"/>
  <c r="O181" i="1" s="1"/>
  <c r="P181" i="1" s="1"/>
  <c r="N182" i="1"/>
  <c r="O182" i="1" s="1"/>
  <c r="P182" i="1" s="1"/>
  <c r="N183" i="1"/>
  <c r="N184" i="1"/>
  <c r="O184" i="1" s="1"/>
  <c r="P184" i="1" s="1"/>
  <c r="N185" i="1"/>
  <c r="O185" i="1" s="1"/>
  <c r="P185" i="1" s="1"/>
  <c r="N186" i="1"/>
  <c r="O186" i="1" s="1"/>
  <c r="P186" i="1" s="1"/>
  <c r="N187" i="1"/>
  <c r="O187" i="1" s="1"/>
  <c r="P187" i="1" s="1"/>
  <c r="N188" i="1"/>
  <c r="O188" i="1" s="1"/>
  <c r="P188" i="1" s="1"/>
  <c r="N189" i="1"/>
  <c r="O189" i="1" s="1"/>
  <c r="P189" i="1" s="1"/>
  <c r="N190" i="1"/>
  <c r="N191" i="1"/>
  <c r="N192" i="1"/>
  <c r="O192" i="1" s="1"/>
  <c r="P192" i="1" s="1"/>
  <c r="N193" i="1"/>
  <c r="O193" i="1" s="1"/>
  <c r="P193" i="1" s="1"/>
  <c r="N194" i="1"/>
  <c r="O194" i="1" s="1"/>
  <c r="P194" i="1" s="1"/>
  <c r="N195" i="1"/>
  <c r="O195" i="1" s="1"/>
  <c r="P195" i="1" s="1"/>
  <c r="N196" i="1"/>
  <c r="O196" i="1" s="1"/>
  <c r="P196" i="1" s="1"/>
  <c r="N197" i="1"/>
  <c r="O197" i="1" s="1"/>
  <c r="P197" i="1" s="1"/>
  <c r="N198" i="1"/>
  <c r="O198" i="1" s="1"/>
  <c r="P198" i="1" s="1"/>
  <c r="N199" i="1"/>
  <c r="N200" i="1"/>
  <c r="O200" i="1" s="1"/>
  <c r="P200" i="1" s="1"/>
  <c r="N201" i="1"/>
  <c r="O201" i="1" s="1"/>
  <c r="P201" i="1" s="1"/>
  <c r="N202" i="1"/>
  <c r="O202" i="1" s="1"/>
  <c r="P202" i="1" s="1"/>
  <c r="N203" i="1"/>
  <c r="O203" i="1" s="1"/>
  <c r="P203" i="1" s="1"/>
  <c r="N204" i="1"/>
  <c r="O204" i="1" s="1"/>
  <c r="P204" i="1" s="1"/>
  <c r="N205" i="1"/>
  <c r="O205" i="1" s="1"/>
  <c r="P205" i="1" s="1"/>
  <c r="N206" i="1"/>
  <c r="N207" i="1"/>
  <c r="N208" i="1"/>
  <c r="O208" i="1" s="1"/>
  <c r="P208" i="1" s="1"/>
  <c r="N209" i="1"/>
  <c r="O209" i="1" s="1"/>
  <c r="P209" i="1" s="1"/>
  <c r="N210" i="1"/>
  <c r="O210" i="1" s="1"/>
  <c r="P210" i="1" s="1"/>
  <c r="N211" i="1"/>
  <c r="O211" i="1" s="1"/>
  <c r="P211" i="1" s="1"/>
  <c r="N212" i="1"/>
  <c r="N213" i="1"/>
  <c r="O213" i="1" s="1"/>
  <c r="P213" i="1" s="1"/>
  <c r="N214" i="1"/>
  <c r="O214" i="1" s="1"/>
  <c r="P214" i="1" s="1"/>
  <c r="N215" i="1"/>
  <c r="N216" i="1"/>
  <c r="O216" i="1" s="1"/>
  <c r="P216" i="1" s="1"/>
  <c r="N217" i="1"/>
  <c r="O217" i="1" s="1"/>
  <c r="P217" i="1" s="1"/>
  <c r="N218" i="1"/>
  <c r="O218" i="1" s="1"/>
  <c r="P218" i="1" s="1"/>
  <c r="N219" i="1"/>
  <c r="O219" i="1" s="1"/>
  <c r="P219" i="1" s="1"/>
  <c r="N220" i="1"/>
  <c r="O220" i="1" s="1"/>
  <c r="P220" i="1" s="1"/>
  <c r="N221" i="1"/>
  <c r="O221" i="1" s="1"/>
  <c r="P221" i="1" s="1"/>
  <c r="N222" i="1"/>
  <c r="O222" i="1" s="1"/>
  <c r="P222" i="1" s="1"/>
  <c r="N223" i="1"/>
  <c r="N224" i="1"/>
  <c r="O224" i="1" s="1"/>
  <c r="P224" i="1" s="1"/>
  <c r="N225" i="1"/>
  <c r="O225" i="1" s="1"/>
  <c r="P225" i="1" s="1"/>
  <c r="N226" i="1"/>
  <c r="O226" i="1" s="1"/>
  <c r="P226" i="1" s="1"/>
  <c r="N227" i="1"/>
  <c r="O227" i="1" s="1"/>
  <c r="P227" i="1" s="1"/>
  <c r="N228" i="1"/>
  <c r="N229" i="1"/>
  <c r="O229" i="1" s="1"/>
  <c r="P229" i="1" s="1"/>
  <c r="N230" i="1"/>
  <c r="O230" i="1" s="1"/>
  <c r="P230" i="1" s="1"/>
  <c r="N231" i="1"/>
  <c r="N232" i="1"/>
  <c r="O232" i="1" s="1"/>
  <c r="P232" i="1" s="1"/>
  <c r="N233" i="1"/>
  <c r="O233" i="1" s="1"/>
  <c r="P233" i="1" s="1"/>
  <c r="N234" i="1"/>
  <c r="O234" i="1" s="1"/>
  <c r="P234" i="1" s="1"/>
  <c r="N235" i="1"/>
  <c r="O235" i="1" s="1"/>
  <c r="P235" i="1" s="1"/>
  <c r="N236" i="1"/>
  <c r="O236" i="1" s="1"/>
  <c r="P236" i="1" s="1"/>
  <c r="N237" i="1"/>
  <c r="O237" i="1" s="1"/>
  <c r="P237" i="1" s="1"/>
  <c r="N238" i="1"/>
  <c r="O238" i="1" s="1"/>
  <c r="P238" i="1" s="1"/>
  <c r="N239" i="1"/>
  <c r="N240" i="1"/>
  <c r="O240" i="1" s="1"/>
  <c r="P240" i="1" s="1"/>
  <c r="N241" i="1"/>
  <c r="O241" i="1" s="1"/>
  <c r="P241" i="1" s="1"/>
  <c r="N242" i="1"/>
  <c r="O242" i="1" s="1"/>
  <c r="P242" i="1" s="1"/>
  <c r="N243" i="1"/>
  <c r="O243" i="1" s="1"/>
  <c r="P243" i="1" s="1"/>
  <c r="N244" i="1"/>
  <c r="O244" i="1" s="1"/>
  <c r="P244" i="1" s="1"/>
  <c r="N245" i="1"/>
  <c r="O245" i="1" s="1"/>
  <c r="P245" i="1" s="1"/>
  <c r="N246" i="1"/>
  <c r="O246" i="1" s="1"/>
  <c r="P246" i="1" s="1"/>
  <c r="N247" i="1"/>
  <c r="N248" i="1"/>
  <c r="O248" i="1" s="1"/>
  <c r="P248" i="1" s="1"/>
  <c r="N249" i="1"/>
  <c r="O249" i="1" s="1"/>
  <c r="P249" i="1" s="1"/>
  <c r="N250" i="1"/>
  <c r="O250" i="1" s="1"/>
  <c r="P250" i="1" s="1"/>
  <c r="N251" i="1"/>
  <c r="O251" i="1" s="1"/>
  <c r="P251" i="1" s="1"/>
  <c r="N252" i="1"/>
  <c r="O252" i="1" s="1"/>
  <c r="P252" i="1" s="1"/>
  <c r="N253" i="1"/>
  <c r="O253" i="1" s="1"/>
  <c r="P253" i="1" s="1"/>
  <c r="N254" i="1"/>
  <c r="N255" i="1"/>
  <c r="N256" i="1"/>
  <c r="O256" i="1" s="1"/>
  <c r="P256" i="1" s="1"/>
  <c r="N257" i="1"/>
  <c r="O257" i="1" s="1"/>
  <c r="P257" i="1" s="1"/>
  <c r="N258" i="1"/>
  <c r="O258" i="1" s="1"/>
  <c r="P258" i="1" s="1"/>
  <c r="N259" i="1"/>
  <c r="O259" i="1" s="1"/>
  <c r="P259" i="1" s="1"/>
  <c r="N260" i="1"/>
  <c r="O260" i="1" s="1"/>
  <c r="P260" i="1" s="1"/>
  <c r="N261" i="1"/>
  <c r="O261" i="1" s="1"/>
  <c r="P261" i="1" s="1"/>
  <c r="N262" i="1"/>
  <c r="O262" i="1" s="1"/>
  <c r="P262" i="1" s="1"/>
  <c r="N263" i="1"/>
  <c r="N264" i="1"/>
  <c r="O264" i="1" s="1"/>
  <c r="P264" i="1" s="1"/>
  <c r="N265" i="1"/>
  <c r="O265" i="1" s="1"/>
  <c r="P265" i="1" s="1"/>
  <c r="N266" i="1"/>
  <c r="O266" i="1" s="1"/>
  <c r="P266" i="1" s="1"/>
  <c r="N267" i="1"/>
  <c r="O267" i="1" s="1"/>
  <c r="P267" i="1" s="1"/>
  <c r="N268" i="1"/>
  <c r="O268" i="1" s="1"/>
  <c r="P268" i="1" s="1"/>
  <c r="N269" i="1"/>
  <c r="O269" i="1" s="1"/>
  <c r="P269" i="1" s="1"/>
  <c r="N270" i="1"/>
  <c r="N271" i="1"/>
  <c r="N272" i="1"/>
  <c r="O272" i="1" s="1"/>
  <c r="P272" i="1" s="1"/>
  <c r="N273" i="1"/>
  <c r="O273" i="1" s="1"/>
  <c r="P273" i="1" s="1"/>
  <c r="N274" i="1"/>
  <c r="O274" i="1" s="1"/>
  <c r="P274" i="1" s="1"/>
  <c r="N275" i="1"/>
  <c r="O275" i="1" s="1"/>
  <c r="P275" i="1" s="1"/>
  <c r="N276" i="1"/>
  <c r="N277" i="1"/>
  <c r="O277" i="1" s="1"/>
  <c r="P277" i="1" s="1"/>
  <c r="N278" i="1"/>
  <c r="O278" i="1" s="1"/>
  <c r="P278" i="1" s="1"/>
  <c r="N279" i="1"/>
  <c r="N280" i="1"/>
  <c r="O280" i="1" s="1"/>
  <c r="P280" i="1" s="1"/>
  <c r="N281" i="1"/>
  <c r="O281" i="1" s="1"/>
  <c r="P281" i="1" s="1"/>
  <c r="N282" i="1"/>
  <c r="O282" i="1" s="1"/>
  <c r="P282" i="1" s="1"/>
  <c r="N283" i="1"/>
  <c r="O283" i="1" s="1"/>
  <c r="P283" i="1" s="1"/>
  <c r="N284" i="1"/>
  <c r="O284" i="1" s="1"/>
  <c r="P284" i="1" s="1"/>
  <c r="N285" i="1"/>
  <c r="O285" i="1" s="1"/>
  <c r="P285" i="1" s="1"/>
  <c r="N286" i="1"/>
  <c r="O286" i="1" s="1"/>
  <c r="P286" i="1" s="1"/>
  <c r="N287" i="1"/>
  <c r="N288" i="1"/>
  <c r="O288" i="1" s="1"/>
  <c r="P288" i="1" s="1"/>
  <c r="N289" i="1"/>
  <c r="O289" i="1" s="1"/>
  <c r="P289" i="1" s="1"/>
  <c r="N290" i="1"/>
  <c r="O290" i="1" s="1"/>
  <c r="P290" i="1" s="1"/>
  <c r="N291" i="1"/>
  <c r="O291" i="1" s="1"/>
  <c r="P291" i="1" s="1"/>
  <c r="N292" i="1"/>
  <c r="N293" i="1"/>
  <c r="O293" i="1" s="1"/>
  <c r="P293" i="1" s="1"/>
  <c r="N294" i="1"/>
  <c r="O294" i="1" s="1"/>
  <c r="P294" i="1" s="1"/>
  <c r="N295" i="1"/>
  <c r="N296" i="1"/>
  <c r="O296" i="1" s="1"/>
  <c r="P296" i="1" s="1"/>
  <c r="N297" i="1"/>
  <c r="O297" i="1" s="1"/>
  <c r="P297" i="1" s="1"/>
  <c r="N298" i="1"/>
  <c r="O298" i="1" s="1"/>
  <c r="P298" i="1" s="1"/>
  <c r="N299" i="1"/>
  <c r="O299" i="1" s="1"/>
  <c r="P299" i="1" s="1"/>
  <c r="N300" i="1"/>
  <c r="O300" i="1" s="1"/>
  <c r="P300" i="1" s="1"/>
  <c r="N301" i="1"/>
  <c r="O301" i="1" s="1"/>
  <c r="P301" i="1" s="1"/>
  <c r="N302" i="1"/>
  <c r="O302" i="1" s="1"/>
  <c r="P302" i="1" s="1"/>
  <c r="N303" i="1"/>
  <c r="N304" i="1"/>
  <c r="O304" i="1" s="1"/>
  <c r="P304" i="1" s="1"/>
  <c r="N305" i="1"/>
  <c r="O305" i="1" s="1"/>
  <c r="P305" i="1" s="1"/>
  <c r="N306" i="1"/>
  <c r="O306" i="1" s="1"/>
  <c r="P306" i="1" s="1"/>
  <c r="N307" i="1"/>
  <c r="O307" i="1" s="1"/>
  <c r="P307" i="1" s="1"/>
  <c r="N308" i="1"/>
  <c r="O308" i="1" s="1"/>
  <c r="P308" i="1" s="1"/>
  <c r="N309" i="1"/>
  <c r="O309" i="1" s="1"/>
  <c r="P309" i="1" s="1"/>
  <c r="N310" i="1"/>
  <c r="O310" i="1" s="1"/>
  <c r="P310" i="1" s="1"/>
  <c r="N311" i="1"/>
  <c r="N312" i="1"/>
  <c r="O312" i="1" s="1"/>
  <c r="P312" i="1" s="1"/>
  <c r="N313" i="1"/>
  <c r="O313" i="1" s="1"/>
  <c r="P313" i="1" s="1"/>
  <c r="N314" i="1"/>
  <c r="O314" i="1" s="1"/>
  <c r="P314" i="1" s="1"/>
  <c r="N315" i="1"/>
  <c r="O315" i="1" s="1"/>
  <c r="P315" i="1" s="1"/>
  <c r="N316" i="1"/>
  <c r="O316" i="1" s="1"/>
  <c r="P316" i="1" s="1"/>
  <c r="N317" i="1"/>
  <c r="O317" i="1" s="1"/>
  <c r="P317" i="1" s="1"/>
  <c r="N318" i="1"/>
  <c r="N319" i="1"/>
  <c r="N320" i="1"/>
  <c r="O320" i="1" s="1"/>
  <c r="P320" i="1" s="1"/>
  <c r="N321" i="1"/>
  <c r="O321" i="1" s="1"/>
  <c r="P321" i="1" s="1"/>
  <c r="N322" i="1"/>
  <c r="O322" i="1" s="1"/>
  <c r="P322" i="1" s="1"/>
  <c r="N323" i="1"/>
  <c r="O323" i="1" s="1"/>
  <c r="P323" i="1" s="1"/>
  <c r="N324" i="1"/>
  <c r="O324" i="1" s="1"/>
  <c r="P324" i="1" s="1"/>
  <c r="N325" i="1"/>
  <c r="O325" i="1" s="1"/>
  <c r="P325" i="1" s="1"/>
  <c r="N326" i="1"/>
  <c r="O326" i="1" s="1"/>
  <c r="P326" i="1" s="1"/>
  <c r="N327" i="1"/>
  <c r="N328" i="1"/>
  <c r="O328" i="1" s="1"/>
  <c r="P328" i="1" s="1"/>
  <c r="N329" i="1"/>
  <c r="O329" i="1" s="1"/>
  <c r="P329" i="1" s="1"/>
  <c r="N330" i="1"/>
  <c r="O330" i="1" s="1"/>
  <c r="P330" i="1" s="1"/>
  <c r="N331" i="1"/>
  <c r="O331" i="1" s="1"/>
  <c r="P331" i="1" s="1"/>
  <c r="N332" i="1"/>
  <c r="O332" i="1" s="1"/>
  <c r="P332" i="1" s="1"/>
  <c r="N333" i="1"/>
  <c r="O333" i="1" s="1"/>
  <c r="P333" i="1" s="1"/>
  <c r="N334" i="1"/>
  <c r="N335" i="1"/>
  <c r="N336" i="1"/>
  <c r="O336" i="1" s="1"/>
  <c r="P336" i="1" s="1"/>
  <c r="N337" i="1"/>
  <c r="O337" i="1" s="1"/>
  <c r="P337" i="1" s="1"/>
  <c r="N338" i="1"/>
  <c r="O338" i="1" s="1"/>
  <c r="P338" i="1" s="1"/>
  <c r="N339" i="1"/>
  <c r="O339" i="1" s="1"/>
  <c r="P339" i="1" s="1"/>
  <c r="N340" i="1"/>
  <c r="N341" i="1"/>
  <c r="O341" i="1" s="1"/>
  <c r="P341" i="1" s="1"/>
  <c r="N342" i="1"/>
  <c r="O342" i="1" s="1"/>
  <c r="P342" i="1" s="1"/>
  <c r="N343" i="1"/>
  <c r="N344" i="1"/>
  <c r="O344" i="1" s="1"/>
  <c r="P344" i="1" s="1"/>
  <c r="N345" i="1"/>
  <c r="O345" i="1" s="1"/>
  <c r="P345" i="1" s="1"/>
  <c r="N346" i="1"/>
  <c r="O346" i="1" s="1"/>
  <c r="P346" i="1" s="1"/>
  <c r="N347" i="1"/>
  <c r="O347" i="1" s="1"/>
  <c r="P347" i="1" s="1"/>
  <c r="N348" i="1"/>
  <c r="O348" i="1" s="1"/>
  <c r="P348" i="1" s="1"/>
  <c r="N349" i="1"/>
  <c r="O349" i="1" s="1"/>
  <c r="P349" i="1" s="1"/>
  <c r="N350" i="1"/>
  <c r="O350" i="1" s="1"/>
  <c r="P350" i="1" s="1"/>
  <c r="N351" i="1"/>
  <c r="N352" i="1"/>
  <c r="O352" i="1" s="1"/>
  <c r="P352" i="1" s="1"/>
  <c r="N353" i="1"/>
  <c r="O353" i="1" s="1"/>
  <c r="P353" i="1" s="1"/>
  <c r="N354" i="1"/>
  <c r="O354" i="1" s="1"/>
  <c r="P354" i="1" s="1"/>
  <c r="N355" i="1"/>
  <c r="O355" i="1" s="1"/>
  <c r="P355" i="1" s="1"/>
  <c r="N356" i="1"/>
  <c r="N357" i="1"/>
  <c r="O357" i="1" s="1"/>
  <c r="P357" i="1" s="1"/>
  <c r="N358" i="1"/>
  <c r="O358" i="1" s="1"/>
  <c r="P358" i="1" s="1"/>
  <c r="N359" i="1"/>
  <c r="N360" i="1"/>
  <c r="O360" i="1" s="1"/>
  <c r="P360" i="1" s="1"/>
  <c r="N361" i="1"/>
  <c r="O361" i="1" s="1"/>
  <c r="P361" i="1" s="1"/>
  <c r="N362" i="1"/>
  <c r="O362" i="1" s="1"/>
  <c r="P362" i="1" s="1"/>
  <c r="N363" i="1"/>
  <c r="O363" i="1" s="1"/>
  <c r="P363" i="1" s="1"/>
  <c r="N364" i="1"/>
  <c r="O364" i="1" s="1"/>
  <c r="P364" i="1" s="1"/>
  <c r="N365" i="1"/>
  <c r="O365" i="1" s="1"/>
  <c r="P365" i="1" s="1"/>
  <c r="N366" i="1"/>
  <c r="O366" i="1" s="1"/>
  <c r="P366" i="1" s="1"/>
  <c r="N367" i="1"/>
  <c r="N368" i="1"/>
  <c r="O368" i="1" s="1"/>
  <c r="P368" i="1" s="1"/>
  <c r="N369" i="1"/>
  <c r="O369" i="1" s="1"/>
  <c r="P369" i="1" s="1"/>
  <c r="N370" i="1"/>
  <c r="O370" i="1" s="1"/>
  <c r="P370" i="1" s="1"/>
  <c r="N371" i="1"/>
  <c r="O371" i="1" s="1"/>
  <c r="P371" i="1" s="1"/>
  <c r="N372" i="1"/>
  <c r="O372" i="1" s="1"/>
  <c r="P372" i="1" s="1"/>
  <c r="N373" i="1"/>
  <c r="N374" i="1"/>
  <c r="O374" i="1" s="1"/>
  <c r="P374" i="1" s="1"/>
  <c r="N375" i="1"/>
  <c r="N376" i="1"/>
  <c r="O376" i="1" s="1"/>
  <c r="P376" i="1" s="1"/>
  <c r="N377" i="1"/>
  <c r="O377" i="1" s="1"/>
  <c r="P377" i="1" s="1"/>
  <c r="N378" i="1"/>
  <c r="O378" i="1" s="1"/>
  <c r="P378" i="1" s="1"/>
  <c r="N379" i="1"/>
  <c r="O379" i="1" s="1"/>
  <c r="P379" i="1" s="1"/>
  <c r="N380" i="1"/>
  <c r="O380" i="1" s="1"/>
  <c r="P380" i="1" s="1"/>
  <c r="N381" i="1"/>
  <c r="O381" i="1" s="1"/>
  <c r="P381" i="1" s="1"/>
  <c r="N382" i="1"/>
  <c r="O382" i="1" s="1"/>
  <c r="P382" i="1" s="1"/>
  <c r="N383" i="1"/>
  <c r="N384" i="1"/>
  <c r="O384" i="1" s="1"/>
  <c r="P384" i="1" s="1"/>
  <c r="N385" i="1"/>
  <c r="O385" i="1" s="1"/>
  <c r="P385" i="1" s="1"/>
  <c r="N386" i="1"/>
  <c r="O386" i="1" s="1"/>
  <c r="P386" i="1" s="1"/>
  <c r="N387" i="1"/>
  <c r="O387" i="1" s="1"/>
  <c r="P387" i="1" s="1"/>
  <c r="N388" i="1"/>
  <c r="O388" i="1" s="1"/>
  <c r="P388" i="1" s="1"/>
  <c r="N389" i="1"/>
  <c r="N390" i="1"/>
  <c r="O390" i="1" s="1"/>
  <c r="P390" i="1" s="1"/>
  <c r="N391" i="1"/>
  <c r="N392" i="1"/>
  <c r="O392" i="1" s="1"/>
  <c r="P392" i="1" s="1"/>
  <c r="N393" i="1"/>
  <c r="O393" i="1" s="1"/>
  <c r="P393" i="1" s="1"/>
  <c r="N394" i="1"/>
  <c r="O394" i="1" s="1"/>
  <c r="P394" i="1" s="1"/>
  <c r="N395" i="1"/>
  <c r="O395" i="1" s="1"/>
  <c r="P395" i="1" s="1"/>
  <c r="N396" i="1"/>
  <c r="O396" i="1" s="1"/>
  <c r="P396" i="1" s="1"/>
  <c r="N397" i="1"/>
  <c r="O397" i="1" s="1"/>
  <c r="P397" i="1" s="1"/>
  <c r="N398" i="1"/>
  <c r="O398" i="1" s="1"/>
  <c r="P398" i="1" s="1"/>
  <c r="N399" i="1"/>
  <c r="N400" i="1"/>
  <c r="O400" i="1" s="1"/>
  <c r="P400" i="1" s="1"/>
  <c r="N401" i="1"/>
  <c r="O401" i="1" s="1"/>
  <c r="P401" i="1" s="1"/>
  <c r="N402" i="1"/>
  <c r="O402" i="1" s="1"/>
  <c r="P402" i="1" s="1"/>
  <c r="N403" i="1"/>
  <c r="O403" i="1" s="1"/>
  <c r="P403" i="1" s="1"/>
  <c r="N404" i="1"/>
  <c r="O404" i="1" s="1"/>
  <c r="P404" i="1" s="1"/>
  <c r="N405" i="1"/>
  <c r="N406" i="1"/>
  <c r="O406" i="1" s="1"/>
  <c r="P406" i="1" s="1"/>
  <c r="N407" i="1"/>
  <c r="N408" i="1"/>
  <c r="O408" i="1" s="1"/>
  <c r="P408" i="1" s="1"/>
  <c r="N409" i="1"/>
  <c r="O409" i="1" s="1"/>
  <c r="P409" i="1" s="1"/>
  <c r="N410" i="1"/>
  <c r="O410" i="1" s="1"/>
  <c r="P410" i="1" s="1"/>
  <c r="N411" i="1"/>
  <c r="O411" i="1" s="1"/>
  <c r="P411" i="1" s="1"/>
  <c r="N412" i="1"/>
  <c r="O412" i="1" s="1"/>
  <c r="P412" i="1" s="1"/>
  <c r="N413" i="1"/>
  <c r="O413" i="1" s="1"/>
  <c r="P413" i="1" s="1"/>
  <c r="N414" i="1"/>
  <c r="O414" i="1" s="1"/>
  <c r="P414" i="1" s="1"/>
  <c r="N415" i="1"/>
  <c r="N416" i="1"/>
  <c r="O416" i="1" s="1"/>
  <c r="P416" i="1" s="1"/>
  <c r="N417" i="1"/>
  <c r="O417" i="1" s="1"/>
  <c r="P417" i="1" s="1"/>
  <c r="N418" i="1"/>
  <c r="O418" i="1" s="1"/>
  <c r="P418" i="1" s="1"/>
  <c r="N419" i="1"/>
  <c r="O419" i="1" s="1"/>
  <c r="P419" i="1" s="1"/>
  <c r="N420" i="1"/>
  <c r="O420" i="1" s="1"/>
  <c r="P420" i="1" s="1"/>
  <c r="N421" i="1"/>
  <c r="N422" i="1"/>
  <c r="O422" i="1" s="1"/>
  <c r="P422" i="1" s="1"/>
  <c r="N423" i="1"/>
  <c r="N424" i="1"/>
  <c r="O424" i="1" s="1"/>
  <c r="P424" i="1" s="1"/>
  <c r="N425" i="1"/>
  <c r="O425" i="1" s="1"/>
  <c r="P425" i="1" s="1"/>
  <c r="N426" i="1"/>
  <c r="O426" i="1" s="1"/>
  <c r="P426" i="1" s="1"/>
  <c r="N427" i="1"/>
  <c r="O427" i="1" s="1"/>
  <c r="P427" i="1" s="1"/>
  <c r="N428" i="1"/>
  <c r="O428" i="1" s="1"/>
  <c r="P428" i="1" s="1"/>
  <c r="N429" i="1"/>
  <c r="O429" i="1" s="1"/>
  <c r="P429" i="1" s="1"/>
  <c r="N430" i="1"/>
  <c r="O430" i="1" s="1"/>
  <c r="P430" i="1" s="1"/>
  <c r="N431" i="1"/>
  <c r="N432" i="1"/>
  <c r="O432" i="1" s="1"/>
  <c r="P432" i="1" s="1"/>
  <c r="N433" i="1"/>
  <c r="O433" i="1" s="1"/>
  <c r="P433" i="1" s="1"/>
  <c r="N434" i="1"/>
  <c r="O434" i="1" s="1"/>
  <c r="P434" i="1" s="1"/>
  <c r="N435" i="1"/>
  <c r="O435" i="1" s="1"/>
  <c r="P435" i="1" s="1"/>
  <c r="N436" i="1"/>
  <c r="O436" i="1" s="1"/>
  <c r="P436" i="1" s="1"/>
  <c r="N437" i="1"/>
  <c r="N438" i="1"/>
  <c r="O438" i="1" s="1"/>
  <c r="P438" i="1" s="1"/>
  <c r="N439" i="1"/>
  <c r="N440" i="1"/>
  <c r="O440" i="1" s="1"/>
  <c r="P440" i="1" s="1"/>
  <c r="N441" i="1"/>
  <c r="O441" i="1" s="1"/>
  <c r="P441" i="1" s="1"/>
  <c r="N442" i="1"/>
  <c r="O442" i="1" s="1"/>
  <c r="P442" i="1" s="1"/>
  <c r="N443" i="1"/>
  <c r="O443" i="1" s="1"/>
  <c r="P443" i="1" s="1"/>
  <c r="N444" i="1"/>
  <c r="O444" i="1" s="1"/>
  <c r="P444" i="1" s="1"/>
  <c r="N445" i="1"/>
  <c r="O445" i="1" s="1"/>
  <c r="P445" i="1" s="1"/>
  <c r="N446" i="1"/>
  <c r="O446" i="1" s="1"/>
  <c r="P446" i="1" s="1"/>
  <c r="N447" i="1"/>
  <c r="N448" i="1"/>
  <c r="O448" i="1" s="1"/>
  <c r="P448" i="1" s="1"/>
  <c r="N449" i="1"/>
  <c r="O449" i="1" s="1"/>
  <c r="P449" i="1" s="1"/>
  <c r="N450" i="1"/>
  <c r="O450" i="1" s="1"/>
  <c r="P450" i="1" s="1"/>
  <c r="N451" i="1"/>
  <c r="O451" i="1" s="1"/>
  <c r="P451" i="1" s="1"/>
  <c r="N452" i="1"/>
  <c r="O452" i="1" s="1"/>
  <c r="P452" i="1" s="1"/>
  <c r="N453" i="1"/>
  <c r="N454" i="1"/>
  <c r="O454" i="1" s="1"/>
  <c r="P454" i="1" s="1"/>
  <c r="N455" i="1"/>
  <c r="N456" i="1"/>
  <c r="O456" i="1" s="1"/>
  <c r="P456" i="1" s="1"/>
  <c r="N457" i="1"/>
  <c r="O457" i="1" s="1"/>
  <c r="P457" i="1" s="1"/>
  <c r="N458" i="1"/>
  <c r="O458" i="1" s="1"/>
  <c r="P458" i="1" s="1"/>
  <c r="N459" i="1"/>
  <c r="O459" i="1" s="1"/>
  <c r="P459" i="1" s="1"/>
  <c r="N460" i="1"/>
  <c r="O460" i="1" s="1"/>
  <c r="P460" i="1" s="1"/>
  <c r="N461" i="1"/>
  <c r="O461" i="1" s="1"/>
  <c r="P461" i="1" s="1"/>
  <c r="N462" i="1"/>
  <c r="O462" i="1" s="1"/>
  <c r="P462" i="1" s="1"/>
  <c r="N463" i="1"/>
  <c r="N464" i="1"/>
  <c r="O464" i="1" s="1"/>
  <c r="P464" i="1" s="1"/>
  <c r="N465" i="1"/>
  <c r="O465" i="1" s="1"/>
  <c r="P465" i="1" s="1"/>
  <c r="N466" i="1"/>
  <c r="O466" i="1" s="1"/>
  <c r="P466" i="1" s="1"/>
  <c r="N467" i="1"/>
  <c r="O467" i="1" s="1"/>
  <c r="P467" i="1" s="1"/>
  <c r="N468" i="1"/>
  <c r="O468" i="1" s="1"/>
  <c r="P468" i="1" s="1"/>
  <c r="N469" i="1"/>
  <c r="N470" i="1"/>
  <c r="O470" i="1" s="1"/>
  <c r="P470" i="1" s="1"/>
  <c r="N471" i="1"/>
  <c r="N472" i="1"/>
  <c r="O472" i="1" s="1"/>
  <c r="P472" i="1" s="1"/>
  <c r="N473" i="1"/>
  <c r="O473" i="1" s="1"/>
  <c r="P473" i="1" s="1"/>
  <c r="N474" i="1"/>
  <c r="O474" i="1" s="1"/>
  <c r="P474" i="1" s="1"/>
  <c r="N475" i="1"/>
  <c r="O475" i="1" s="1"/>
  <c r="P475" i="1" s="1"/>
  <c r="N476" i="1"/>
  <c r="O476" i="1" s="1"/>
  <c r="P476" i="1" s="1"/>
  <c r="N477" i="1"/>
  <c r="O477" i="1" s="1"/>
  <c r="P477" i="1" s="1"/>
  <c r="N478" i="1"/>
  <c r="O478" i="1" s="1"/>
  <c r="P478" i="1" s="1"/>
  <c r="N479" i="1"/>
  <c r="N480" i="1"/>
  <c r="O480" i="1" s="1"/>
  <c r="P480" i="1" s="1"/>
  <c r="N481" i="1"/>
  <c r="O481" i="1" s="1"/>
  <c r="P481" i="1" s="1"/>
  <c r="N482" i="1"/>
  <c r="O482" i="1" s="1"/>
  <c r="P482" i="1" s="1"/>
  <c r="N483" i="1"/>
  <c r="O483" i="1" s="1"/>
  <c r="P483" i="1" s="1"/>
  <c r="N484" i="1"/>
  <c r="O484" i="1" s="1"/>
  <c r="P484" i="1" s="1"/>
  <c r="N485" i="1"/>
  <c r="N486" i="1"/>
  <c r="O486" i="1" s="1"/>
  <c r="P486" i="1" s="1"/>
  <c r="N487" i="1"/>
  <c r="N488" i="1"/>
  <c r="O488" i="1" s="1"/>
  <c r="P488" i="1" s="1"/>
  <c r="N489" i="1"/>
  <c r="O489" i="1" s="1"/>
  <c r="P489" i="1" s="1"/>
  <c r="N490" i="1"/>
  <c r="O490" i="1" s="1"/>
  <c r="P490" i="1" s="1"/>
  <c r="N491" i="1"/>
  <c r="O491" i="1" s="1"/>
  <c r="P491" i="1" s="1"/>
  <c r="N492" i="1"/>
  <c r="O492" i="1" s="1"/>
  <c r="P492" i="1" s="1"/>
  <c r="N493" i="1"/>
  <c r="O493" i="1" s="1"/>
  <c r="P493" i="1" s="1"/>
  <c r="N494" i="1"/>
  <c r="O494" i="1" s="1"/>
  <c r="P494" i="1" s="1"/>
  <c r="N495" i="1"/>
  <c r="N496" i="1"/>
  <c r="O496" i="1" s="1"/>
  <c r="P496" i="1" s="1"/>
  <c r="N497" i="1"/>
  <c r="O497" i="1" s="1"/>
  <c r="P497" i="1" s="1"/>
  <c r="N498" i="1"/>
  <c r="O498" i="1" s="1"/>
  <c r="P498" i="1" s="1"/>
  <c r="N499" i="1"/>
  <c r="O499" i="1" s="1"/>
  <c r="P499" i="1" s="1"/>
  <c r="N500" i="1"/>
  <c r="O500" i="1" s="1"/>
  <c r="P500" i="1" s="1"/>
  <c r="N501" i="1"/>
  <c r="N502" i="1"/>
  <c r="O502" i="1" s="1"/>
  <c r="P502" i="1" s="1"/>
  <c r="N503" i="1"/>
  <c r="N504" i="1"/>
  <c r="O504" i="1" s="1"/>
  <c r="P504" i="1" s="1"/>
  <c r="N505" i="1"/>
  <c r="O505" i="1" s="1"/>
  <c r="P505" i="1" s="1"/>
  <c r="N506" i="1"/>
  <c r="O506" i="1" s="1"/>
  <c r="P506" i="1" s="1"/>
  <c r="N507" i="1"/>
  <c r="O507" i="1" s="1"/>
  <c r="P507" i="1" s="1"/>
  <c r="N508" i="1"/>
  <c r="O508" i="1" s="1"/>
  <c r="P508" i="1" s="1"/>
  <c r="N509" i="1"/>
  <c r="O509" i="1" s="1"/>
  <c r="P509" i="1" s="1"/>
  <c r="N510" i="1"/>
  <c r="O510" i="1" s="1"/>
  <c r="P510" i="1" s="1"/>
  <c r="N511" i="1"/>
  <c r="N512" i="1"/>
  <c r="O512" i="1" s="1"/>
  <c r="P512" i="1" s="1"/>
  <c r="N513" i="1"/>
  <c r="O513" i="1" s="1"/>
  <c r="P513" i="1" s="1"/>
  <c r="N514" i="1"/>
  <c r="O514" i="1" s="1"/>
  <c r="P514" i="1" s="1"/>
  <c r="N515" i="1"/>
  <c r="O515" i="1" s="1"/>
  <c r="P515" i="1" s="1"/>
  <c r="N516" i="1"/>
  <c r="O516" i="1" s="1"/>
  <c r="P516" i="1" s="1"/>
  <c r="N517" i="1"/>
  <c r="N518" i="1"/>
  <c r="O518" i="1" s="1"/>
  <c r="P518" i="1" s="1"/>
  <c r="N519" i="1"/>
  <c r="N520" i="1"/>
  <c r="O520" i="1" s="1"/>
  <c r="P520" i="1" s="1"/>
  <c r="N521" i="1"/>
  <c r="O521" i="1" s="1"/>
  <c r="P521" i="1" s="1"/>
  <c r="N522" i="1"/>
  <c r="O522" i="1" s="1"/>
  <c r="P522" i="1" s="1"/>
  <c r="N523" i="1"/>
  <c r="O523" i="1" s="1"/>
  <c r="P523" i="1" s="1"/>
  <c r="N524" i="1"/>
  <c r="O524" i="1" s="1"/>
  <c r="P524" i="1" s="1"/>
  <c r="N525" i="1"/>
  <c r="O525" i="1" s="1"/>
  <c r="P525" i="1" s="1"/>
  <c r="N526" i="1"/>
  <c r="O526" i="1" s="1"/>
  <c r="P526" i="1" s="1"/>
  <c r="N527" i="1"/>
  <c r="N528" i="1"/>
  <c r="O528" i="1" s="1"/>
  <c r="P528" i="1" s="1"/>
  <c r="N529" i="1"/>
  <c r="N530" i="1"/>
  <c r="O530" i="1" s="1"/>
  <c r="P530" i="1" s="1"/>
  <c r="N531" i="1"/>
  <c r="O531" i="1" s="1"/>
  <c r="P531" i="1" s="1"/>
  <c r="N532" i="1"/>
  <c r="O532" i="1" s="1"/>
  <c r="P532" i="1" s="1"/>
  <c r="N533" i="1"/>
  <c r="O533" i="1" s="1"/>
  <c r="P533" i="1" s="1"/>
  <c r="N534" i="1"/>
  <c r="O534" i="1" s="1"/>
  <c r="P534" i="1" s="1"/>
  <c r="N535" i="1"/>
  <c r="N536" i="1"/>
  <c r="O536" i="1" s="1"/>
  <c r="P536" i="1" s="1"/>
  <c r="N537" i="1"/>
  <c r="N538" i="1"/>
  <c r="O538" i="1" s="1"/>
  <c r="P538" i="1" s="1"/>
  <c r="N539" i="1"/>
  <c r="O539" i="1" s="1"/>
  <c r="P539" i="1" s="1"/>
  <c r="N540" i="1"/>
  <c r="O540" i="1" s="1"/>
  <c r="P540" i="1" s="1"/>
  <c r="N541" i="1"/>
  <c r="O541" i="1" s="1"/>
  <c r="P541" i="1" s="1"/>
  <c r="N542" i="1"/>
  <c r="O542" i="1" s="1"/>
  <c r="P542" i="1" s="1"/>
  <c r="N543" i="1"/>
  <c r="N544" i="1"/>
  <c r="O544" i="1" s="1"/>
  <c r="P544" i="1" s="1"/>
  <c r="N545" i="1"/>
  <c r="N546" i="1"/>
  <c r="O546" i="1" s="1"/>
  <c r="P546" i="1" s="1"/>
  <c r="N547" i="1"/>
  <c r="O547" i="1" s="1"/>
  <c r="P547" i="1" s="1"/>
  <c r="N548" i="1"/>
  <c r="O548" i="1" s="1"/>
  <c r="P548" i="1" s="1"/>
  <c r="N549" i="1"/>
  <c r="O549" i="1" s="1"/>
  <c r="P549" i="1" s="1"/>
  <c r="N550" i="1"/>
  <c r="O550" i="1" s="1"/>
  <c r="P550" i="1" s="1"/>
  <c r="N551" i="1"/>
  <c r="N552" i="1"/>
  <c r="O552" i="1" s="1"/>
  <c r="P552" i="1" s="1"/>
  <c r="N553" i="1"/>
  <c r="N554" i="1"/>
  <c r="O554" i="1" s="1"/>
  <c r="P554" i="1" s="1"/>
  <c r="N555" i="1"/>
  <c r="O555" i="1" s="1"/>
  <c r="P555" i="1" s="1"/>
  <c r="N556" i="1"/>
  <c r="O556" i="1" s="1"/>
  <c r="P556" i="1" s="1"/>
  <c r="N557" i="1"/>
  <c r="O557" i="1" s="1"/>
  <c r="P557" i="1" s="1"/>
  <c r="N558" i="1"/>
  <c r="O558" i="1" s="1"/>
  <c r="P558" i="1" s="1"/>
  <c r="N559" i="1"/>
  <c r="N560" i="1"/>
  <c r="O560" i="1" s="1"/>
  <c r="P560" i="1" s="1"/>
  <c r="N561" i="1"/>
  <c r="N562" i="1"/>
  <c r="O562" i="1" s="1"/>
  <c r="P562" i="1" s="1"/>
  <c r="N563" i="1"/>
  <c r="O563" i="1" s="1"/>
  <c r="P563" i="1" s="1"/>
  <c r="N564" i="1"/>
  <c r="O564" i="1" s="1"/>
  <c r="P564" i="1" s="1"/>
  <c r="N565" i="1"/>
  <c r="O565" i="1" s="1"/>
  <c r="P565" i="1" s="1"/>
  <c r="N566" i="1"/>
  <c r="O566" i="1" s="1"/>
  <c r="P566" i="1" s="1"/>
  <c r="N567" i="1"/>
  <c r="N568" i="1"/>
  <c r="O568" i="1" s="1"/>
  <c r="P568" i="1" s="1"/>
  <c r="N569" i="1"/>
  <c r="N570" i="1"/>
  <c r="O570" i="1" s="1"/>
  <c r="P570" i="1" s="1"/>
  <c r="N571" i="1"/>
  <c r="O571" i="1" s="1"/>
  <c r="P571" i="1" s="1"/>
  <c r="N572" i="1"/>
  <c r="O572" i="1" s="1"/>
  <c r="P572" i="1" s="1"/>
  <c r="N573" i="1"/>
  <c r="O573" i="1" s="1"/>
  <c r="P573" i="1" s="1"/>
  <c r="N574" i="1"/>
  <c r="O574" i="1" s="1"/>
  <c r="P574" i="1" s="1"/>
  <c r="N575" i="1"/>
  <c r="N576" i="1"/>
  <c r="O576" i="1" s="1"/>
  <c r="P576" i="1" s="1"/>
  <c r="N577" i="1"/>
  <c r="N578" i="1"/>
  <c r="O578" i="1" s="1"/>
  <c r="P578" i="1" s="1"/>
  <c r="N579" i="1"/>
  <c r="O579" i="1" s="1"/>
  <c r="P579" i="1" s="1"/>
  <c r="N580" i="1"/>
  <c r="O580" i="1" s="1"/>
  <c r="P580" i="1" s="1"/>
  <c r="N581" i="1"/>
  <c r="O581" i="1" s="1"/>
  <c r="P581" i="1" s="1"/>
  <c r="N582" i="1"/>
  <c r="O582" i="1" s="1"/>
  <c r="P582" i="1" s="1"/>
  <c r="N583" i="1"/>
  <c r="N584" i="1"/>
  <c r="O584" i="1" s="1"/>
  <c r="P584" i="1" s="1"/>
  <c r="N585" i="1"/>
  <c r="N586" i="1"/>
  <c r="O586" i="1" s="1"/>
  <c r="P586" i="1" s="1"/>
  <c r="N587" i="1"/>
  <c r="O587" i="1" s="1"/>
  <c r="P587" i="1" s="1"/>
  <c r="N588" i="1"/>
  <c r="O588" i="1" s="1"/>
  <c r="P588" i="1" s="1"/>
  <c r="N589" i="1"/>
  <c r="O589" i="1" s="1"/>
  <c r="P589" i="1" s="1"/>
  <c r="N590" i="1"/>
  <c r="O590" i="1" s="1"/>
  <c r="P590" i="1" s="1"/>
  <c r="N591" i="1"/>
  <c r="N592" i="1"/>
  <c r="O592" i="1" s="1"/>
  <c r="P592" i="1" s="1"/>
  <c r="N593" i="1"/>
  <c r="N594" i="1"/>
  <c r="O594" i="1" s="1"/>
  <c r="P594" i="1" s="1"/>
  <c r="N595" i="1"/>
  <c r="O595" i="1" s="1"/>
  <c r="P595" i="1" s="1"/>
  <c r="N596" i="1"/>
  <c r="O596" i="1" s="1"/>
  <c r="P596" i="1" s="1"/>
  <c r="N597" i="1"/>
  <c r="O597" i="1" s="1"/>
  <c r="P597" i="1" s="1"/>
  <c r="N598" i="1"/>
  <c r="O598" i="1" s="1"/>
  <c r="P598" i="1" s="1"/>
  <c r="N599" i="1"/>
  <c r="N600" i="1"/>
  <c r="O600" i="1" s="1"/>
  <c r="P600" i="1" s="1"/>
  <c r="N601" i="1"/>
  <c r="N602" i="1"/>
  <c r="O602" i="1" s="1"/>
  <c r="P602" i="1" s="1"/>
  <c r="N603" i="1"/>
  <c r="O603" i="1" s="1"/>
  <c r="P603" i="1" s="1"/>
  <c r="N604" i="1"/>
  <c r="O604" i="1" s="1"/>
  <c r="P604" i="1" s="1"/>
  <c r="N605" i="1"/>
  <c r="O605" i="1" s="1"/>
  <c r="P605" i="1" s="1"/>
  <c r="N606" i="1"/>
  <c r="O606" i="1" s="1"/>
  <c r="P606" i="1" s="1"/>
  <c r="N607" i="1"/>
  <c r="N608" i="1"/>
  <c r="O608" i="1" s="1"/>
  <c r="P608" i="1" s="1"/>
  <c r="N609" i="1"/>
  <c r="N610" i="1"/>
  <c r="O610" i="1" s="1"/>
  <c r="P610" i="1" s="1"/>
  <c r="N611" i="1"/>
  <c r="O611" i="1" s="1"/>
  <c r="P611" i="1" s="1"/>
  <c r="N612" i="1"/>
  <c r="O612" i="1" s="1"/>
  <c r="P612" i="1" s="1"/>
  <c r="N613" i="1"/>
  <c r="O613" i="1" s="1"/>
  <c r="P613" i="1" s="1"/>
  <c r="N614" i="1"/>
  <c r="O614" i="1" s="1"/>
  <c r="P614" i="1" s="1"/>
  <c r="N615" i="1"/>
  <c r="N616" i="1"/>
  <c r="O616" i="1" s="1"/>
  <c r="P616" i="1" s="1"/>
  <c r="N617" i="1"/>
  <c r="N618" i="1"/>
  <c r="O618" i="1" s="1"/>
  <c r="P618" i="1" s="1"/>
  <c r="N619" i="1"/>
  <c r="O619" i="1" s="1"/>
  <c r="P619" i="1" s="1"/>
  <c r="N620" i="1"/>
  <c r="O620" i="1" s="1"/>
  <c r="P620" i="1" s="1"/>
  <c r="N621" i="1"/>
  <c r="O621" i="1" s="1"/>
  <c r="P621" i="1" s="1"/>
  <c r="N622" i="1"/>
  <c r="O622" i="1" s="1"/>
  <c r="P622" i="1" s="1"/>
  <c r="N623" i="1"/>
  <c r="N624" i="1"/>
  <c r="O624" i="1" s="1"/>
  <c r="P624" i="1" s="1"/>
  <c r="N625" i="1"/>
  <c r="N626" i="1"/>
  <c r="O626" i="1" s="1"/>
  <c r="P626" i="1" s="1"/>
  <c r="N627" i="1"/>
  <c r="O627" i="1" s="1"/>
  <c r="P627" i="1" s="1"/>
  <c r="N628" i="1"/>
  <c r="O628" i="1" s="1"/>
  <c r="P628" i="1" s="1"/>
  <c r="N629" i="1"/>
  <c r="O629" i="1" s="1"/>
  <c r="P629" i="1" s="1"/>
  <c r="N630" i="1"/>
  <c r="O630" i="1" s="1"/>
  <c r="P630" i="1" s="1"/>
  <c r="N631" i="1"/>
  <c r="N632" i="1"/>
  <c r="O632" i="1" s="1"/>
  <c r="P632" i="1" s="1"/>
  <c r="N633" i="1"/>
  <c r="N634" i="1"/>
  <c r="O634" i="1" s="1"/>
  <c r="P634" i="1" s="1"/>
  <c r="N635" i="1"/>
  <c r="O635" i="1" s="1"/>
  <c r="P635" i="1" s="1"/>
  <c r="N636" i="1"/>
  <c r="O636" i="1" s="1"/>
  <c r="P636" i="1" s="1"/>
  <c r="N637" i="1"/>
  <c r="O637" i="1" s="1"/>
  <c r="P637" i="1" s="1"/>
  <c r="N638" i="1"/>
  <c r="O638" i="1" s="1"/>
  <c r="P638" i="1" s="1"/>
  <c r="N639" i="1"/>
  <c r="N640" i="1"/>
  <c r="O640" i="1" s="1"/>
  <c r="P640" i="1" s="1"/>
  <c r="N641" i="1"/>
  <c r="N642" i="1"/>
  <c r="O642" i="1" s="1"/>
  <c r="P642" i="1" s="1"/>
  <c r="N643" i="1"/>
  <c r="O643" i="1" s="1"/>
  <c r="P643" i="1" s="1"/>
  <c r="N644" i="1"/>
  <c r="O644" i="1" s="1"/>
  <c r="P644" i="1" s="1"/>
  <c r="N645" i="1"/>
  <c r="O645" i="1" s="1"/>
  <c r="P645" i="1" s="1"/>
  <c r="N646" i="1"/>
  <c r="O646" i="1" s="1"/>
  <c r="P646" i="1" s="1"/>
  <c r="N647" i="1"/>
  <c r="N648" i="1"/>
  <c r="O648" i="1" s="1"/>
  <c r="P648" i="1" s="1"/>
  <c r="N649" i="1"/>
  <c r="N650" i="1"/>
  <c r="O650" i="1" s="1"/>
  <c r="P650" i="1" s="1"/>
  <c r="N651" i="1"/>
  <c r="O651" i="1" s="1"/>
  <c r="P651" i="1" s="1"/>
  <c r="N652" i="1"/>
  <c r="O652" i="1" s="1"/>
  <c r="P652" i="1" s="1"/>
  <c r="N653" i="1"/>
  <c r="O653" i="1" s="1"/>
  <c r="P653" i="1" s="1"/>
  <c r="N654" i="1"/>
  <c r="O654" i="1" s="1"/>
  <c r="P654" i="1" s="1"/>
  <c r="N655" i="1"/>
  <c r="N656" i="1"/>
  <c r="O656" i="1" s="1"/>
  <c r="P656" i="1" s="1"/>
  <c r="N657" i="1"/>
  <c r="N658" i="1"/>
  <c r="O658" i="1" s="1"/>
  <c r="P658" i="1" s="1"/>
  <c r="N659" i="1"/>
  <c r="O659" i="1" s="1"/>
  <c r="P659" i="1" s="1"/>
  <c r="N660" i="1"/>
  <c r="O660" i="1" s="1"/>
  <c r="P660" i="1" s="1"/>
  <c r="N661" i="1"/>
  <c r="O661" i="1" s="1"/>
  <c r="P661" i="1" s="1"/>
  <c r="N662" i="1"/>
  <c r="O662" i="1" s="1"/>
  <c r="P662" i="1" s="1"/>
  <c r="N663" i="1"/>
  <c r="N664" i="1"/>
  <c r="O664" i="1" s="1"/>
  <c r="P664" i="1" s="1"/>
  <c r="N665" i="1"/>
  <c r="N666" i="1"/>
  <c r="O666" i="1" s="1"/>
  <c r="P666" i="1" s="1"/>
  <c r="N667" i="1"/>
  <c r="O667" i="1" s="1"/>
  <c r="P667" i="1" s="1"/>
  <c r="N668" i="1"/>
  <c r="O668" i="1" s="1"/>
  <c r="P668" i="1" s="1"/>
  <c r="N669" i="1"/>
  <c r="O669" i="1" s="1"/>
  <c r="P669" i="1" s="1"/>
  <c r="N670" i="1"/>
  <c r="O670" i="1" s="1"/>
  <c r="P670" i="1" s="1"/>
  <c r="N671" i="1"/>
  <c r="N672" i="1"/>
  <c r="O672" i="1" s="1"/>
  <c r="P672" i="1" s="1"/>
  <c r="N673" i="1"/>
  <c r="N674" i="1"/>
  <c r="O674" i="1" s="1"/>
  <c r="P674" i="1" s="1"/>
  <c r="N675" i="1"/>
  <c r="O675" i="1" s="1"/>
  <c r="P675" i="1" s="1"/>
  <c r="N676" i="1"/>
  <c r="O676" i="1" s="1"/>
  <c r="P676" i="1" s="1"/>
  <c r="N677" i="1"/>
  <c r="O677" i="1" s="1"/>
  <c r="P677" i="1" s="1"/>
  <c r="N678" i="1"/>
  <c r="O678" i="1" s="1"/>
  <c r="P678" i="1" s="1"/>
  <c r="N679" i="1"/>
  <c r="N680" i="1"/>
  <c r="O680" i="1" s="1"/>
  <c r="P680" i="1" s="1"/>
  <c r="N681" i="1"/>
  <c r="N682" i="1"/>
  <c r="O682" i="1" s="1"/>
  <c r="P682" i="1" s="1"/>
  <c r="N683" i="1"/>
  <c r="O683" i="1" s="1"/>
  <c r="P683" i="1" s="1"/>
  <c r="N684" i="1"/>
  <c r="O684" i="1" s="1"/>
  <c r="P684" i="1" s="1"/>
  <c r="N685" i="1"/>
  <c r="O685" i="1" s="1"/>
  <c r="P685" i="1" s="1"/>
  <c r="N686" i="1"/>
  <c r="O686" i="1" s="1"/>
  <c r="P686" i="1" s="1"/>
  <c r="N687" i="1"/>
  <c r="N688" i="1"/>
  <c r="O688" i="1" s="1"/>
  <c r="P688" i="1" s="1"/>
  <c r="N689" i="1"/>
  <c r="N690" i="1"/>
  <c r="O690" i="1" s="1"/>
  <c r="P690" i="1" s="1"/>
  <c r="N691" i="1"/>
  <c r="O691" i="1" s="1"/>
  <c r="P691" i="1" s="1"/>
  <c r="N692" i="1"/>
  <c r="O692" i="1" s="1"/>
  <c r="P692" i="1" s="1"/>
  <c r="N693" i="1"/>
  <c r="O693" i="1" s="1"/>
  <c r="P693" i="1" s="1"/>
  <c r="N694" i="1"/>
  <c r="O694" i="1" s="1"/>
  <c r="P694" i="1" s="1"/>
  <c r="N695" i="1"/>
  <c r="N696" i="1"/>
  <c r="O696" i="1" s="1"/>
  <c r="P696" i="1" s="1"/>
  <c r="N697" i="1"/>
  <c r="N698" i="1"/>
  <c r="O698" i="1" s="1"/>
  <c r="P698" i="1" s="1"/>
  <c r="N699" i="1"/>
  <c r="O699" i="1" s="1"/>
  <c r="P699" i="1" s="1"/>
  <c r="N700" i="1"/>
  <c r="O700" i="1" s="1"/>
  <c r="P700" i="1" s="1"/>
  <c r="N701" i="1"/>
  <c r="O701" i="1" s="1"/>
  <c r="P701" i="1" s="1"/>
  <c r="N2" i="1"/>
  <c r="O207" i="1" l="1"/>
  <c r="P207" i="1" s="1"/>
  <c r="O199" i="1"/>
  <c r="P199" i="1" s="1"/>
  <c r="O191" i="1"/>
  <c r="P191" i="1" s="1"/>
  <c r="O183" i="1"/>
  <c r="P183" i="1" s="1"/>
  <c r="O167" i="1"/>
  <c r="P167" i="1" s="1"/>
  <c r="O159" i="1"/>
  <c r="P159" i="1" s="1"/>
  <c r="O151" i="1"/>
  <c r="P151" i="1" s="1"/>
  <c r="O143" i="1"/>
  <c r="P143" i="1" s="1"/>
  <c r="O135" i="1"/>
  <c r="P135" i="1" s="1"/>
  <c r="O127" i="1"/>
  <c r="P127" i="1" s="1"/>
  <c r="O119" i="1"/>
  <c r="P119" i="1" s="1"/>
  <c r="O111" i="1"/>
  <c r="P111" i="1" s="1"/>
  <c r="O103" i="1"/>
  <c r="P103" i="1" s="1"/>
  <c r="O95" i="1"/>
  <c r="P95" i="1" s="1"/>
  <c r="O87" i="1"/>
  <c r="P87" i="1" s="1"/>
  <c r="O79" i="1"/>
  <c r="P79" i="1" s="1"/>
  <c r="O71" i="1"/>
  <c r="P71" i="1" s="1"/>
  <c r="O63" i="1"/>
  <c r="P63" i="1" s="1"/>
  <c r="O55" i="1"/>
  <c r="P55" i="1" s="1"/>
  <c r="O47" i="1"/>
  <c r="P47" i="1" s="1"/>
  <c r="O39" i="1"/>
  <c r="P39" i="1" s="1"/>
  <c r="O31" i="1"/>
  <c r="P31" i="1" s="1"/>
  <c r="O23" i="1"/>
  <c r="P23" i="1" s="1"/>
  <c r="O15" i="1"/>
  <c r="P15" i="1" s="1"/>
  <c r="O7" i="1"/>
  <c r="P7" i="1" s="1"/>
  <c r="O503" i="1"/>
  <c r="P503" i="1" s="1"/>
  <c r="O479" i="1"/>
  <c r="P479" i="1" s="1"/>
  <c r="O455" i="1"/>
  <c r="P455" i="1" s="1"/>
  <c r="O431" i="1"/>
  <c r="P431" i="1" s="1"/>
  <c r="O407" i="1"/>
  <c r="P407" i="1" s="1"/>
  <c r="O383" i="1"/>
  <c r="P383" i="1" s="1"/>
  <c r="O359" i="1"/>
  <c r="P359" i="1" s="1"/>
  <c r="O335" i="1"/>
  <c r="P335" i="1" s="1"/>
  <c r="O311" i="1"/>
  <c r="P311" i="1" s="1"/>
  <c r="O303" i="1"/>
  <c r="P303" i="1" s="1"/>
  <c r="O295" i="1"/>
  <c r="P295" i="1" s="1"/>
  <c r="O287" i="1"/>
  <c r="P287" i="1" s="1"/>
  <c r="O279" i="1"/>
  <c r="P279" i="1" s="1"/>
  <c r="O271" i="1"/>
  <c r="P271" i="1" s="1"/>
  <c r="O247" i="1"/>
  <c r="P247" i="1" s="1"/>
  <c r="O239" i="1"/>
  <c r="P239" i="1" s="1"/>
  <c r="O231" i="1"/>
  <c r="P231" i="1" s="1"/>
  <c r="O223" i="1"/>
  <c r="P223" i="1" s="1"/>
  <c r="O215" i="1"/>
  <c r="P215" i="1" s="1"/>
  <c r="O175" i="1"/>
  <c r="P175" i="1" s="1"/>
  <c r="O2" i="1"/>
  <c r="P2" i="1" s="1"/>
  <c r="O519" i="1"/>
  <c r="P519" i="1" s="1"/>
  <c r="O495" i="1"/>
  <c r="P495" i="1" s="1"/>
  <c r="O471" i="1"/>
  <c r="P471" i="1" s="1"/>
  <c r="O439" i="1"/>
  <c r="P439" i="1" s="1"/>
  <c r="O415" i="1"/>
  <c r="P415" i="1" s="1"/>
  <c r="O391" i="1"/>
  <c r="P391" i="1" s="1"/>
  <c r="O367" i="1"/>
  <c r="P367" i="1" s="1"/>
  <c r="O343" i="1"/>
  <c r="P343" i="1" s="1"/>
  <c r="O327" i="1"/>
  <c r="P327" i="1" s="1"/>
  <c r="O263" i="1"/>
  <c r="P263" i="1" s="1"/>
  <c r="O511" i="1"/>
  <c r="P511" i="1" s="1"/>
  <c r="O487" i="1"/>
  <c r="P487" i="1" s="1"/>
  <c r="O463" i="1"/>
  <c r="P463" i="1" s="1"/>
  <c r="O447" i="1"/>
  <c r="P447" i="1" s="1"/>
  <c r="O423" i="1"/>
  <c r="P423" i="1" s="1"/>
  <c r="O399" i="1"/>
  <c r="P399" i="1" s="1"/>
  <c r="O375" i="1"/>
  <c r="P375" i="1" s="1"/>
  <c r="O351" i="1"/>
  <c r="P351" i="1" s="1"/>
  <c r="O319" i="1"/>
  <c r="P319" i="1" s="1"/>
  <c r="O255" i="1"/>
  <c r="P255" i="1" s="1"/>
</calcChain>
</file>

<file path=xl/sharedStrings.xml><?xml version="1.0" encoding="utf-8"?>
<sst xmlns="http://schemas.openxmlformats.org/spreadsheetml/2006/main" count="3606" uniqueCount="304">
  <si>
    <t>InvoiceNo</t>
  </si>
  <si>
    <t>Date</t>
  </si>
  <si>
    <t>StoreID</t>
  </si>
  <si>
    <t>ProductID</t>
  </si>
  <si>
    <t>Category</t>
  </si>
  <si>
    <t>Quantity</t>
  </si>
  <si>
    <t>UnitPrice</t>
  </si>
  <si>
    <t>Discount</t>
  </si>
  <si>
    <t>CostPerUnit</t>
  </si>
  <si>
    <t>CustomerType</t>
  </si>
  <si>
    <t>PaymentMode</t>
  </si>
  <si>
    <t>S002</t>
  </si>
  <si>
    <t>S009</t>
  </si>
  <si>
    <t>S038</t>
  </si>
  <si>
    <t>S014</t>
  </si>
  <si>
    <t>S036</t>
  </si>
  <si>
    <t>S015</t>
  </si>
  <si>
    <t>S049</t>
  </si>
  <si>
    <t>S018</t>
  </si>
  <si>
    <t>S006</t>
  </si>
  <si>
    <t>S039</t>
  </si>
  <si>
    <t>S025</t>
  </si>
  <si>
    <t>S037</t>
  </si>
  <si>
    <t>S043</t>
  </si>
  <si>
    <t>S007</t>
  </si>
  <si>
    <t>S011</t>
  </si>
  <si>
    <t>S045</t>
  </si>
  <si>
    <t>S035</t>
  </si>
  <si>
    <t>S044</t>
  </si>
  <si>
    <t>S021</t>
  </si>
  <si>
    <t>S026</t>
  </si>
  <si>
    <t>S048</t>
  </si>
  <si>
    <t>S024</t>
  </si>
  <si>
    <t>S041</t>
  </si>
  <si>
    <t>S050</t>
  </si>
  <si>
    <t>S028</t>
  </si>
  <si>
    <t>S033</t>
  </si>
  <si>
    <t>S010</t>
  </si>
  <si>
    <t>S016</t>
  </si>
  <si>
    <t>S005</t>
  </si>
  <si>
    <t>S034</t>
  </si>
  <si>
    <t>S004</t>
  </si>
  <si>
    <t>S032</t>
  </si>
  <si>
    <t>S030</t>
  </si>
  <si>
    <t>S008</t>
  </si>
  <si>
    <t>S040</t>
  </si>
  <si>
    <t>S017</t>
  </si>
  <si>
    <t>S003</t>
  </si>
  <si>
    <t>S023</t>
  </si>
  <si>
    <t>S042</t>
  </si>
  <si>
    <t>S047</t>
  </si>
  <si>
    <t>S046</t>
  </si>
  <si>
    <t>S013</t>
  </si>
  <si>
    <t>S031</t>
  </si>
  <si>
    <t>S027</t>
  </si>
  <si>
    <t>S001</t>
  </si>
  <si>
    <t>S029</t>
  </si>
  <si>
    <t>S022</t>
  </si>
  <si>
    <t>S020</t>
  </si>
  <si>
    <t>S019</t>
  </si>
  <si>
    <t>S012</t>
  </si>
  <si>
    <t>P0189</t>
  </si>
  <si>
    <t>P0088</t>
  </si>
  <si>
    <t>P0053</t>
  </si>
  <si>
    <t>P0192</t>
  </si>
  <si>
    <t>P0089</t>
  </si>
  <si>
    <t>P0188</t>
  </si>
  <si>
    <t>P0108</t>
  </si>
  <si>
    <t>P0051</t>
  </si>
  <si>
    <t>P0172</t>
  </si>
  <si>
    <t>P0164</t>
  </si>
  <si>
    <t>P0054</t>
  </si>
  <si>
    <t>P0044</t>
  </si>
  <si>
    <t>P0190</t>
  </si>
  <si>
    <t>P0024</t>
  </si>
  <si>
    <t>P0041</t>
  </si>
  <si>
    <t>P0081</t>
  </si>
  <si>
    <t>P0048</t>
  </si>
  <si>
    <t>P0175</t>
  </si>
  <si>
    <t>P0142</t>
  </si>
  <si>
    <t>P0124</t>
  </si>
  <si>
    <t>P0052</t>
  </si>
  <si>
    <t>P0143</t>
  </si>
  <si>
    <t>P0086</t>
  </si>
  <si>
    <t>P0028</t>
  </si>
  <si>
    <t>P0128</t>
  </si>
  <si>
    <t>P0129</t>
  </si>
  <si>
    <t>P0103</t>
  </si>
  <si>
    <t>P0160</t>
  </si>
  <si>
    <t>P0186</t>
  </si>
  <si>
    <t>P0113</t>
  </si>
  <si>
    <t>P0002</t>
  </si>
  <si>
    <t>P0184</t>
  </si>
  <si>
    <t>P0198</t>
  </si>
  <si>
    <t>P0187</t>
  </si>
  <si>
    <t>P0148</t>
  </si>
  <si>
    <t>P0039</t>
  </si>
  <si>
    <t>P0178</t>
  </si>
  <si>
    <t>P0144</t>
  </si>
  <si>
    <t>P0009</t>
  </si>
  <si>
    <t>P0075</t>
  </si>
  <si>
    <t>P0112</t>
  </si>
  <si>
    <t>P0194</t>
  </si>
  <si>
    <t>P0068</t>
  </si>
  <si>
    <t>P0176</t>
  </si>
  <si>
    <t>P0158</t>
  </si>
  <si>
    <t>P0027</t>
  </si>
  <si>
    <t>P0197</t>
  </si>
  <si>
    <t>P0046</t>
  </si>
  <si>
    <t>P0067</t>
  </si>
  <si>
    <t>P0058</t>
  </si>
  <si>
    <t>P0130</t>
  </si>
  <si>
    <t>P0013</t>
  </si>
  <si>
    <t>P0020</t>
  </si>
  <si>
    <t>P0115</t>
  </si>
  <si>
    <t>P0191</t>
  </si>
  <si>
    <t>P0125</t>
  </si>
  <si>
    <t>P0170</t>
  </si>
  <si>
    <t>P0008</t>
  </si>
  <si>
    <t>P0196</t>
  </si>
  <si>
    <t>P0099</t>
  </si>
  <si>
    <t>P0137</t>
  </si>
  <si>
    <t>P0034</t>
  </si>
  <si>
    <t>P0117</t>
  </si>
  <si>
    <t>P0069</t>
  </si>
  <si>
    <t>P0033</t>
  </si>
  <si>
    <t>P0016</t>
  </si>
  <si>
    <t>P0084</t>
  </si>
  <si>
    <t>P0161</t>
  </si>
  <si>
    <t>P0012</t>
  </si>
  <si>
    <t>P0162</t>
  </si>
  <si>
    <t>P0114</t>
  </si>
  <si>
    <t>P0021</t>
  </si>
  <si>
    <t>P0152</t>
  </si>
  <si>
    <t>P0096</t>
  </si>
  <si>
    <t>P0183</t>
  </si>
  <si>
    <t>P0147</t>
  </si>
  <si>
    <t>P0042</t>
  </si>
  <si>
    <t>P0163</t>
  </si>
  <si>
    <t>P0007</t>
  </si>
  <si>
    <t>P0109</t>
  </si>
  <si>
    <t>P0045</t>
  </si>
  <si>
    <t>P0126</t>
  </si>
  <si>
    <t>P0167</t>
  </si>
  <si>
    <t>P0134</t>
  </si>
  <si>
    <t>P0080</t>
  </si>
  <si>
    <t>P0014</t>
  </si>
  <si>
    <t>P0090</t>
  </si>
  <si>
    <t>P0157</t>
  </si>
  <si>
    <t>P0056</t>
  </si>
  <si>
    <t>P0011</t>
  </si>
  <si>
    <t>P0055</t>
  </si>
  <si>
    <t>P0102</t>
  </si>
  <si>
    <t>P0083</t>
  </si>
  <si>
    <t>P0032</t>
  </si>
  <si>
    <t>P0193</t>
  </si>
  <si>
    <t>P0098</t>
  </si>
  <si>
    <t>P0106</t>
  </si>
  <si>
    <t>P0118</t>
  </si>
  <si>
    <t>P0025</t>
  </si>
  <si>
    <t>P0092</t>
  </si>
  <si>
    <t>P0133</t>
  </si>
  <si>
    <t>P0026</t>
  </si>
  <si>
    <t>P0180</t>
  </si>
  <si>
    <t>P0151</t>
  </si>
  <si>
    <t>P0038</t>
  </si>
  <si>
    <t>P0111</t>
  </si>
  <si>
    <t>P0064</t>
  </si>
  <si>
    <t>P0095</t>
  </si>
  <si>
    <t>P0031</t>
  </si>
  <si>
    <t>P0066</t>
  </si>
  <si>
    <t>P0185</t>
  </si>
  <si>
    <t>P0173</t>
  </si>
  <si>
    <t>P0063</t>
  </si>
  <si>
    <t>P0035</t>
  </si>
  <si>
    <t>P0072</t>
  </si>
  <si>
    <t>P0165</t>
  </si>
  <si>
    <t>P0132</t>
  </si>
  <si>
    <t>P0166</t>
  </si>
  <si>
    <t>P0145</t>
  </si>
  <si>
    <t>P0104</t>
  </si>
  <si>
    <t>P0135</t>
  </si>
  <si>
    <t>P0005</t>
  </si>
  <si>
    <t>P0047</t>
  </si>
  <si>
    <t>P0074</t>
  </si>
  <si>
    <t>P0040</t>
  </si>
  <si>
    <t>P0149</t>
  </si>
  <si>
    <t>P0182</t>
  </si>
  <si>
    <t>P0154</t>
  </si>
  <si>
    <t>P0105</t>
  </si>
  <si>
    <t>P0179</t>
  </si>
  <si>
    <t>P0029</t>
  </si>
  <si>
    <t>P0019</t>
  </si>
  <si>
    <t>P0110</t>
  </si>
  <si>
    <t>P0078</t>
  </si>
  <si>
    <t>P0195</t>
  </si>
  <si>
    <t>P0059</t>
  </si>
  <si>
    <t>P0022</t>
  </si>
  <si>
    <t>P0017</t>
  </si>
  <si>
    <t>P0138</t>
  </si>
  <si>
    <t>P0122</t>
  </si>
  <si>
    <t>P0036</t>
  </si>
  <si>
    <t>P0057</t>
  </si>
  <si>
    <t>P0116</t>
  </si>
  <si>
    <t>P0153</t>
  </si>
  <si>
    <t>P0037</t>
  </si>
  <si>
    <t>P0093</t>
  </si>
  <si>
    <t>P0003</t>
  </si>
  <si>
    <t>P0177</t>
  </si>
  <si>
    <t>P0123</t>
  </si>
  <si>
    <t>P0073</t>
  </si>
  <si>
    <t>P0006</t>
  </si>
  <si>
    <t>P0023</t>
  </si>
  <si>
    <t>P0060</t>
  </si>
  <si>
    <t>P0141</t>
  </si>
  <si>
    <t>P0131</t>
  </si>
  <si>
    <t>P0199</t>
  </si>
  <si>
    <t>P0169</t>
  </si>
  <si>
    <t>P0097</t>
  </si>
  <si>
    <t>P0174</t>
  </si>
  <si>
    <t>P0049</t>
  </si>
  <si>
    <t>P0127</t>
  </si>
  <si>
    <t>P0087</t>
  </si>
  <si>
    <t>P0150</t>
  </si>
  <si>
    <t>P0156</t>
  </si>
  <si>
    <t>P0079</t>
  </si>
  <si>
    <t>P0100</t>
  </si>
  <si>
    <t>P0062</t>
  </si>
  <si>
    <t>P0010</t>
  </si>
  <si>
    <t>P0121</t>
  </si>
  <si>
    <t>P0119</t>
  </si>
  <si>
    <t>P0043</t>
  </si>
  <si>
    <t>P0171</t>
  </si>
  <si>
    <t>P0136</t>
  </si>
  <si>
    <t>P0159</t>
  </si>
  <si>
    <t>P0085</t>
  </si>
  <si>
    <t>P0071</t>
  </si>
  <si>
    <t>P0077</t>
  </si>
  <si>
    <t>P0050</t>
  </si>
  <si>
    <t>P0065</t>
  </si>
  <si>
    <t>P0155</t>
  </si>
  <si>
    <t>P0181</t>
  </si>
  <si>
    <t>P0082</t>
  </si>
  <si>
    <t>P0091</t>
  </si>
  <si>
    <t>P0070</t>
  </si>
  <si>
    <t>P0107</t>
  </si>
  <si>
    <t>P0140</t>
  </si>
  <si>
    <t>P0168</t>
  </si>
  <si>
    <t>P0120</t>
  </si>
  <si>
    <t>P0001</t>
  </si>
  <si>
    <t>P0004</t>
  </si>
  <si>
    <t>P0030</t>
  </si>
  <si>
    <t>P0018</t>
  </si>
  <si>
    <t>P0146</t>
  </si>
  <si>
    <t>Tops</t>
  </si>
  <si>
    <t>Activewear</t>
  </si>
  <si>
    <t>Accessories</t>
  </si>
  <si>
    <t>Footwear</t>
  </si>
  <si>
    <t>Shoes</t>
  </si>
  <si>
    <t>Clothing</t>
  </si>
  <si>
    <t>Dresses</t>
  </si>
  <si>
    <t>Returning</t>
  </si>
  <si>
    <t>New</t>
  </si>
  <si>
    <t>Card</t>
  </si>
  <si>
    <t>Digital</t>
  </si>
  <si>
    <t>Cash</t>
  </si>
  <si>
    <t>UPI</t>
  </si>
  <si>
    <t>NetBanking</t>
  </si>
  <si>
    <t>Unknown</t>
  </si>
  <si>
    <t>Total Cost</t>
  </si>
  <si>
    <t>Revenue</t>
  </si>
  <si>
    <t>Profit Margin</t>
  </si>
  <si>
    <t>Profit</t>
  </si>
  <si>
    <t>Weekend Sell</t>
  </si>
  <si>
    <t>Month</t>
  </si>
  <si>
    <t>Year</t>
  </si>
  <si>
    <t>Row Labels</t>
  </si>
  <si>
    <t>Weekday</t>
  </si>
  <si>
    <t>Weekend</t>
  </si>
  <si>
    <t>Grand Total</t>
  </si>
  <si>
    <t>Sum of Revenue</t>
  </si>
  <si>
    <t>Sum of Profit</t>
  </si>
  <si>
    <t>weekend sales compare to weekday sales</t>
  </si>
  <si>
    <t>Sum of Profitable Margin</t>
  </si>
  <si>
    <t>Discount Brand</t>
  </si>
  <si>
    <t>0-10%</t>
  </si>
  <si>
    <t>10-20%</t>
  </si>
  <si>
    <t>20-30%</t>
  </si>
  <si>
    <t>Average of Profitable Margin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</si>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</sst>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numFmt numFmtId="14" formatCode="0.00%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[fashionwave_sales_dataset.xlsx]Revneue by Product catgory!PivotTable2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Performance by Product Categor</a:t>
            </a:r>
            <a:r>
              <a:rPr lang="en-US" sz="1400" b="0" i="0" u="none" strike="noStrike" baseline="0"/>
              <a:t>y</a:t>
            </a:r>
            <a:endParaRPr lang="en-US"/>
          </a:p>
        </c:rich>
      </c:tx>
      <c:layout>
        <c:manualLayout>
          <c:xMode val="edge"/>
          <c:yMode val="edge"/>
          <c:x val="0.2630190349712262"/>
          <c:y val="5.5581281156687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'Revneue by Product catgory'!$B$3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'Revneue by Product catgory'!$A$4:$A$11</c:f>
              <c:strCache>
                <c:ptCount val="7"/>
                <c:pt idx="0">
                  <c:v>Footwear</c:v>
                </c:pt>
                <c:pt idx="1">
                  <c:v>Tops</c:v>
                </c:pt>
                <c:pt idx="2">
                  <c:v>Accessories</c:v>
                </c:pt>
                <c:pt idx="3">
                  <c:v>Shoes</c:v>
                </c:pt>
                <c:pt idx="4">
                  <c:v>Clothing</c:v>
                </c:pt>
                <c:pt idx="5">
                  <c:v>Activewear</c:v>
                </c:pt>
                <c:pt idx="6">
                  <c:v>Dresses</c:v>
                </c:pt>
              </c:strCache>
            </c:strRef>
          </c:cat>
          <c:val>
            <c:numRef>
              <c:f>'Revneue by Product catgory'!$B$4:$B$11</c:f>
              <c:numCache>
                <c:formatCode>General</c:formatCode>
                <c:ptCount val="7"/>
                <c:pt idx="0">
                  <c:v>681486.15750000009</c:v>
                </c:pt>
                <c:pt idx="1">
                  <c:v>621991.71950000047</c:v>
                </c:pt>
                <c:pt idx="2">
                  <c:v>604015.46</c:v>
                </c:pt>
                <c:pt idx="3">
                  <c:v>601088.59049999982</c:v>
                </c:pt>
                <c:pt idx="4">
                  <c:v>566898.30250000011</c:v>
                </c:pt>
                <c:pt idx="5">
                  <c:v>563863.51400000008</c:v>
                </c:pt>
                <c:pt idx="6">
                  <c:v>497112.40699999989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C-4E94-A773-590A2657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18653440"/>
        <c:axId val="718654880"/>
      </c:barChart>
      <c:catAx>
        <c:axId val="718653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54880"/>
        <c:crosses val="autoZero"/>
        <c:auto val="1"/>
        <c:lblAlgn val="ctr"/>
        <c:lblOffset val="100"/>
        <c:noMultiLvlLbl val="0"/>
      </c:catAx>
      <c:valAx>
        <c:axId val="718654880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5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[fashionwave_sales_dataset.xlsx]Revenue vs Profit vs Margin!PivotTable3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vs Profit vs Margin'!$B$3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vs Profit vs Margin'!$A$4:$A$10</c:f>
              <c:strCache>
                <c:ptCount val="7"/>
                <c:pt idx="0">
                  <c:v>Footwear</c:v>
                </c:pt>
                <c:pt idx="1">
                  <c:v>Tops</c:v>
                </c:pt>
                <c:pt idx="2">
                  <c:v>Accessories</c:v>
                </c:pt>
                <c:pt idx="3">
                  <c:v>Shoes</c:v>
                </c:pt>
                <c:pt idx="4">
                  <c:v>Clothing</c:v>
                </c:pt>
                <c:pt idx="5">
                  <c:v>Activewear</c:v>
                </c:pt>
                <c:pt idx="6">
                  <c:v>Dresses</c:v>
                </c:pt>
              </c:strCache>
            </c:strRef>
          </c:cat>
          <c:val>
            <c:numRef>
              <c:f>'Revenue vs Profit vs Margin'!$B$4:$B$10</c:f>
              <c:numCache>
                <c:formatCode>General</c:formatCode>
                <c:ptCount val="7"/>
                <c:pt idx="0">
                  <c:v>681486.15750000009</c:v>
                </c:pt>
                <c:pt idx="1">
                  <c:v>621991.71950000047</c:v>
                </c:pt>
                <c:pt idx="2">
                  <c:v>604015.46</c:v>
                </c:pt>
                <c:pt idx="3">
                  <c:v>601088.59049999982</c:v>
                </c:pt>
                <c:pt idx="4">
                  <c:v>566898.30250000011</c:v>
                </c:pt>
                <c:pt idx="5">
                  <c:v>563863.51400000008</c:v>
                </c:pt>
                <c:pt idx="6">
                  <c:v>497112.40699999989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4-416F-8CB6-E949E33DB253}"/>
            </c:ext>
          </c:extLst>
        </c:ser>
        <c:ser>
          <c:idx val="1"/>
          <c:order val="1"/>
          <c:tx>
            <c:strRef>
              <c:f>'Revenue vs Profit vs Margin'!$C$3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vs Profit vs Margin'!$A$4:$A$10</c:f>
              <c:strCache>
                <c:ptCount val="7"/>
                <c:pt idx="0">
                  <c:v>Footwear</c:v>
                </c:pt>
                <c:pt idx="1">
                  <c:v>Tops</c:v>
                </c:pt>
                <c:pt idx="2">
                  <c:v>Accessories</c:v>
                </c:pt>
                <c:pt idx="3">
                  <c:v>Shoes</c:v>
                </c:pt>
                <c:pt idx="4">
                  <c:v>Clothing</c:v>
                </c:pt>
                <c:pt idx="5">
                  <c:v>Activewear</c:v>
                </c:pt>
                <c:pt idx="6">
                  <c:v>Dresses</c:v>
                </c:pt>
              </c:strCache>
            </c:strRef>
          </c:cat>
          <c:val>
            <c:numRef>
              <c:f>'Revenue vs Profit vs Margin'!$C$4:$C$10</c:f>
              <c:numCache>
                <c:formatCode>General</c:formatCode>
                <c:ptCount val="7"/>
                <c:pt idx="0">
                  <c:v>246679.69749999992</c:v>
                </c:pt>
                <c:pt idx="1">
                  <c:v>223574.18949999998</c:v>
                </c:pt>
                <c:pt idx="2">
                  <c:v>209801.84000000003</c:v>
                </c:pt>
                <c:pt idx="3">
                  <c:v>221301.48050000001</c:v>
                </c:pt>
                <c:pt idx="4">
                  <c:v>207862.66250000006</c:v>
                </c:pt>
                <c:pt idx="5">
                  <c:v>209636.75400000002</c:v>
                </c:pt>
                <c:pt idx="6">
                  <c:v>181382.997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4-416F-8CB6-E949E33DB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368032"/>
        <c:axId val="668361312"/>
      </c:barChart>
      <c:lineChart>
        <c:grouping val="standard"/>
        <c:varyColors val="0"/>
        <c:ser>
          <c:idx val="2"/>
          <c:order val="2"/>
          <c:tx>
            <c:strRef>
              <c:f>'Revenue vs Profit vs Margin'!$D$3</c:f>
              <c:strCache>
                <c:ptCount val="1"/>
                <c:pt idx="0">
                  <c:v>Sum of Profitable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vs Profit vs Margin'!$A$4:$A$10</c:f>
              <c:strCache>
                <c:ptCount val="7"/>
                <c:pt idx="0">
                  <c:v>Footwear</c:v>
                </c:pt>
                <c:pt idx="1">
                  <c:v>Tops</c:v>
                </c:pt>
                <c:pt idx="2">
                  <c:v>Accessories</c:v>
                </c:pt>
                <c:pt idx="3">
                  <c:v>Shoes</c:v>
                </c:pt>
                <c:pt idx="4">
                  <c:v>Clothing</c:v>
                </c:pt>
                <c:pt idx="5">
                  <c:v>Activewear</c:v>
                </c:pt>
                <c:pt idx="6">
                  <c:v>Dresses</c:v>
                </c:pt>
              </c:strCache>
            </c:strRef>
          </c:cat>
          <c:val>
            <c:numRef>
              <c:f>'Revenue vs Profit vs Margin'!$D$4:$D$10</c:f>
              <c:numCache>
                <c:formatCode>0.0%</c:formatCode>
                <c:ptCount val="7"/>
                <c:pt idx="0">
                  <c:v>0.36197315937411378</c:v>
                </c:pt>
                <c:pt idx="1">
                  <c:v>0.3594488198005662</c:v>
                </c:pt>
                <c:pt idx="2">
                  <c:v>0.34734514907946235</c:v>
                </c:pt>
                <c:pt idx="3">
                  <c:v>0.3681678275009615</c:v>
                </c:pt>
                <c:pt idx="4">
                  <c:v>0.36666658126040169</c:v>
                </c:pt>
                <c:pt idx="5">
                  <c:v>0.37178634331711696</c:v>
                </c:pt>
                <c:pt idx="6">
                  <c:v>0.36487320462311462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4-416F-8CB6-E949E33DB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60959"/>
        <c:axId val="197960479"/>
      </c:lineChart>
      <c:catAx>
        <c:axId val="6683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61312"/>
        <c:crosses val="autoZero"/>
        <c:auto val="1"/>
        <c:lblAlgn val="ctr"/>
        <c:lblOffset val="100"/>
        <c:noMultiLvlLbl val="0"/>
      </c:catAx>
      <c:valAx>
        <c:axId val="66836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68032"/>
        <c:crosses val="autoZero"/>
        <c:crossBetween val="between"/>
      </c:valAx>
      <c:valAx>
        <c:axId val="19796047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60959"/>
        <c:crosses val="max"/>
        <c:crossBetween val="between"/>
      </c:valAx>
      <c:catAx>
        <c:axId val="1979609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960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[fashionwave_sales_dataset.xlsx]Discount Brand vs Profir Margin!PivotTable4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Discount on Profit Margin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Brand vs Profir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B5-4D5D-890F-29DDF47AC71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B5-4D5D-890F-29DDF47AC7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B5-4D5D-890F-29DDF47AC7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Brand vs Profir Margin'!$A$4:$A$7</c:f>
              <c:strCache>
                <c:ptCount val="3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</c:strCache>
            </c:strRef>
          </c:cat>
          <c:val>
            <c:numRef>
              <c:f>'Discount Brand vs Profir Margin'!$B$4:$B$7</c:f>
              <c:numCache>
                <c:formatCode>0.0%</c:formatCode>
                <c:ptCount val="3"/>
                <c:pt idx="0">
                  <c:v>0.4168591599991795</c:v>
                </c:pt>
                <c:pt idx="1">
                  <c:v>0.34185731972694544</c:v>
                </c:pt>
                <c:pt idx="2">
                  <c:v>0.25738441514747151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5-4D5D-890F-29DDF47AC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562016"/>
        <c:axId val="1445570176"/>
      </c:barChart>
      <c:catAx>
        <c:axId val="14455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570176"/>
        <c:crosses val="autoZero"/>
        <c:auto val="1"/>
        <c:lblAlgn val="ctr"/>
        <c:lblOffset val="100"/>
        <c:noMultiLvlLbl val="0"/>
      </c:catAx>
      <c:valAx>
        <c:axId val="14455701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5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[fashionwave_sales_dataset.xlsx]Reveneue by Month &amp; Year!PivotTable6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'Reveneue by Month &amp;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'Reveneue by Month &amp; Year'!$A$4:$A$29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'Reveneue by Month &amp; Year'!$B$4:$B$29</c:f>
              <c:numCache>
                <c:formatCode>General</c:formatCode>
                <c:ptCount val="24"/>
                <c:pt idx="0">
                  <c:v>208000.11699999994</c:v>
                </c:pt>
                <c:pt idx="1">
                  <c:v>121850.7945</c:v>
                </c:pt>
                <c:pt idx="2">
                  <c:v>168177.54</c:v>
                </c:pt>
                <c:pt idx="3">
                  <c:v>137406.78599999999</c:v>
                </c:pt>
                <c:pt idx="4">
                  <c:v>142096.49700000003</c:v>
                </c:pt>
                <c:pt idx="5">
                  <c:v>242540.75099999999</c:v>
                </c:pt>
                <c:pt idx="6">
                  <c:v>212820.12149999998</c:v>
                </c:pt>
                <c:pt idx="7">
                  <c:v>152416.79600000006</c:v>
                </c:pt>
                <c:pt idx="8">
                  <c:v>134848.29900000003</c:v>
                </c:pt>
                <c:pt idx="9">
                  <c:v>174884.47800000003</c:v>
                </c:pt>
                <c:pt idx="10">
                  <c:v>147508.47700000001</c:v>
                </c:pt>
                <c:pt idx="11">
                  <c:v>199801.88999999998</c:v>
                </c:pt>
                <c:pt idx="12">
                  <c:v>182735.84850000002</c:v>
                </c:pt>
                <c:pt idx="13">
                  <c:v>162539.46649999998</c:v>
                </c:pt>
                <c:pt idx="14">
                  <c:v>188062.62099999998</c:v>
                </c:pt>
                <c:pt idx="15">
                  <c:v>138950.88199999998</c:v>
                </c:pt>
                <c:pt idx="16">
                  <c:v>262771.53250000003</c:v>
                </c:pt>
                <c:pt idx="17">
                  <c:v>140267.90400000001</c:v>
                </c:pt>
                <c:pt idx="18">
                  <c:v>139299.26249999998</c:v>
                </c:pt>
                <c:pt idx="19">
                  <c:v>167152.34700000001</c:v>
                </c:pt>
                <c:pt idx="20">
                  <c:v>169681.34000000003</c:v>
                </c:pt>
                <c:pt idx="21">
                  <c:v>277592.76849999989</c:v>
                </c:pt>
                <c:pt idx="22">
                  <c:v>145414.54950000002</c:v>
                </c:pt>
                <c:pt idx="23">
                  <c:v>119635.08199999999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5-4620-B37C-FF7D108FA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221552"/>
        <c:axId val="1132205232"/>
      </c:lineChart>
      <c:catAx>
        <c:axId val="11322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5232"/>
        <c:crosses val="autoZero"/>
        <c:auto val="1"/>
        <c:lblAlgn val="ctr"/>
        <c:lblOffset val="100"/>
        <c:noMultiLvlLbl val="0"/>
      </c:catAx>
      <c:valAx>
        <c:axId val="113220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[fashionwave_sales_dataset.xlsx]Top 10 Revenue stores!PivotTable7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Revenue Generating Stores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Revenue stores'!$B$3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37-455E-8EF3-ECEABB6487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37-455E-8EF3-ECEABB6487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37-455E-8EF3-ECEABB648749}"/>
              </c:ext>
            </c:extLst>
          </c:dPt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Revenue stores'!$A$4:$A$13</c:f>
              <c:strCache>
                <c:ptCount val="10"/>
                <c:pt idx="0">
                  <c:v>S021</c:v>
                </c:pt>
                <c:pt idx="1">
                  <c:v>S026</c:v>
                </c:pt>
                <c:pt idx="2">
                  <c:v>S029</c:v>
                </c:pt>
                <c:pt idx="3">
                  <c:v>S049</c:v>
                </c:pt>
                <c:pt idx="4">
                  <c:v>S032</c:v>
                </c:pt>
                <c:pt idx="5">
                  <c:v>S043</c:v>
                </c:pt>
                <c:pt idx="6">
                  <c:v>S009</c:v>
                </c:pt>
                <c:pt idx="7">
                  <c:v>S034</c:v>
                </c:pt>
                <c:pt idx="8">
                  <c:v>S044</c:v>
                </c:pt>
                <c:pt idx="9">
                  <c:v>S033</c:v>
                </c:pt>
              </c:strCache>
            </c:strRef>
          </c:cat>
          <c:val>
            <c:numRef>
              <c:f>'Top 10 Revenue stores'!$B$4:$B$13</c:f>
              <c:numCache>
                <c:formatCode>"₹"\ #,##0.00</c:formatCode>
                <c:ptCount val="10"/>
                <c:pt idx="0">
                  <c:v>140938.9</c:v>
                </c:pt>
                <c:pt idx="1">
                  <c:v>136741.128</c:v>
                </c:pt>
                <c:pt idx="2">
                  <c:v>131082.0895</c:v>
                </c:pt>
                <c:pt idx="3">
                  <c:v>116978.9705</c:v>
                </c:pt>
                <c:pt idx="4">
                  <c:v>112548.00999999998</c:v>
                </c:pt>
                <c:pt idx="5">
                  <c:v>112164.61250000002</c:v>
                </c:pt>
                <c:pt idx="6">
                  <c:v>111412.73149999998</c:v>
                </c:pt>
                <c:pt idx="7">
                  <c:v>109343.9235</c:v>
                </c:pt>
                <c:pt idx="8">
                  <c:v>106021.746</c:v>
                </c:pt>
                <c:pt idx="9">
                  <c:v>103622.03900000002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7-455E-8EF3-ECEABB6487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10"/>
        <c:axId val="1132168272"/>
        <c:axId val="1132172112"/>
      </c:barChart>
      <c:catAx>
        <c:axId val="1132168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72112"/>
        <c:crosses val="autoZero"/>
        <c:auto val="1"/>
        <c:lblAlgn val="ctr"/>
        <c:lblOffset val="100"/>
        <c:noMultiLvlLbl val="0"/>
      </c:catAx>
      <c:valAx>
        <c:axId val="1132172112"/>
        <c:scaling>
          <c:orientation val="minMax"/>
        </c:scaling>
        <c:delete val="0"/>
        <c:axPos val="t"/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6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[fashionwave_sales_dataset.xlsx]Sheet8!PivotTable8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Contribution by Customer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70-473F-9E0C-8D7A9AD67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Returning</c:v>
                </c:pt>
                <c:pt idx="1">
                  <c:v>New</c:v>
                </c:pt>
                <c:pt idx="2">
                  <c:v>Unknown</c:v>
                </c:pt>
              </c:strCache>
            </c:strRef>
          </c:cat>
          <c:val>
            <c:numRef>
              <c:f>Sheet8!$B$4:$B$7</c:f>
              <c:numCache>
                <c:formatCode>"₹"\ #,##0.00</c:formatCode>
                <c:ptCount val="3"/>
                <c:pt idx="0">
                  <c:v>1497268.7735000004</c:v>
                </c:pt>
                <c:pt idx="1">
                  <c:v>1369516.4</c:v>
                </c:pt>
                <c:pt idx="2">
                  <c:v>1269670.9774999991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0-473F-9E0C-8D7A9AD67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186032"/>
        <c:axId val="1132186512"/>
      </c:barChart>
      <c:catAx>
        <c:axId val="11321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86512"/>
        <c:crosses val="autoZero"/>
        <c:auto val="1"/>
        <c:lblAlgn val="ctr"/>
        <c:lblOffset val="100"/>
        <c:noMultiLvlLbl val="0"/>
      </c:catAx>
      <c:valAx>
        <c:axId val="1132186512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8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[fashionwave_sales_dataset.xlsx]Sales Comparision by Days!PivotTable1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Comparision by Days'!$B$3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Comparision by Days'!$A$4:$A$6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'Sales Comparision by Days'!$B$4:$B$6</c:f>
              <c:numCache>
                <c:formatCode>"₹"\ #,##0.00</c:formatCode>
                <c:ptCount val="2"/>
                <c:pt idx="0">
                  <c:v>3018765.2055000002</c:v>
                </c:pt>
                <c:pt idx="1">
                  <c:v>1117690.9455000001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B-4F6C-94E9-054AD6E4D704}"/>
            </c:ext>
          </c:extLst>
        </c:ser>
        <c:ser>
          <c:idx val="1"/>
          <c:order val="1"/>
          <c:tx>
            <c:strRef>
              <c:f>'Sales Comparision by Days'!$C$3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Comparision by Days'!$A$4:$A$6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'Sales Comparision by Days'!$C$4:$C$6</c:f>
              <c:numCache>
                <c:formatCode>"₹"\ #,##0.00</c:formatCode>
                <c:ptCount val="2"/>
                <c:pt idx="0">
                  <c:v>1080732.4555000006</c:v>
                </c:pt>
                <c:pt idx="1">
                  <c:v>419507.16550000006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B-4F6C-94E9-054AD6E4D7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9292271"/>
        <c:axId val="439291791"/>
      </c:barChart>
      <c:catAx>
        <c:axId val="43929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91791"/>
        <c:crosses val="autoZero"/>
        <c:auto val="1"/>
        <c:lblAlgn val="ctr"/>
        <c:lblOffset val="100"/>
        <c:noMultiLvlLbl val="0"/>
      </c:catAx>
      <c:valAx>
        <c:axId val="439291791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9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</xdr:row>
      <xdr:rowOff>128586</xdr:rowOff>
    </xdr:from>
    <xdr:to>
      <xdr:col>13</xdr:col>
      <xdr:colOff>438149</xdr:colOff>
      <xdr:row>24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465EA1-A317-34E4-8156-21B856B9A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185736</xdr:rowOff>
    </xdr:from>
    <xdr:to>
      <xdr:col>14</xdr:col>
      <xdr:colOff>28575</xdr:colOff>
      <xdr:row>22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4DBAC-8518-2B8B-522B-C726C3930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556137</xdr:colOff>
      <xdr:row>5</xdr:row>
      <xdr:rowOff>76354</xdr:rowOff>
    </xdr:from>
    <xdr:to>
      <xdr:col>11</xdr:col>
      <xdr:colOff>273460</xdr:colOff>
      <xdr:row>19</xdr:row>
      <xdr:rowOff>131045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F6BF06-C005-57AB-30A6-F4BB9CC63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5</xdr:row>
      <xdr:rowOff>66675</xdr:rowOff>
    </xdr:from>
    <xdr:to>
      <xdr:col>19</xdr:col>
      <xdr:colOff>57150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DD4ED-2E24-E240-DD35-E2A284B9C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357188</xdr:colOff>
      <xdr:row>6</xdr:row>
      <xdr:rowOff>162358</xdr:rowOff>
    </xdr:from>
    <xdr:to>
      <xdr:col>18</xdr:col>
      <xdr:colOff>562841</xdr:colOff>
      <xdr:row>35</xdr:row>
      <xdr:rowOff>64943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C1314-C8E6-388B-4C43-83F2F1B76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52387</xdr:rowOff>
    </xdr:from>
    <xdr:to>
      <xdr:col>14</xdr:col>
      <xdr:colOff>304800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DE6FA-48A5-7CAC-D987-458C3543C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0</xdr:rowOff>
    </xdr:from>
    <xdr:to>
      <xdr:col>11</xdr:col>
      <xdr:colOff>476250</xdr:colOff>
      <xdr:row>14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D972C-C8A2-2ED5-73FF-6E1A7586E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4.710150810184" createdVersion="8" refreshedVersion="8" minRefreshableVersion="3" recordCount="700" xr:uid="{81A4A2D7-B862-4168-8950-BF2819A17F62}">
  <cacheSource type="worksheet">
    <worksheetSource name="Sales"/>
  </cacheSource>
  <cacheFields count="23">
    <cacheField name="InvoiceNo" numFmtId="0">
      <sharedItems containsSemiMixedTypes="0" containsString="0" containsNumber="1" containsInteger="1" minValue="100000" maxValue="100699"/>
    </cacheField>
    <cacheField name="Date" numFmtId="164">
      <sharedItems containsSemiMixedTypes="0" containsNonDate="0" containsDate="1" containsString="0" minDate="2023-01-01T00:00:00" maxDate="2024-12-31T00:00:00" count="441">
        <d v="2023-03-13T00:00:00"/>
        <d v="2023-11-27T00:00:00"/>
        <d v="2024-10-23T00:00:00"/>
        <d v="2024-01-21T00:00:00"/>
        <d v="2023-01-22T00:00:00"/>
        <d v="2024-04-20T00:00:00"/>
        <d v="2024-07-16T00:00:00"/>
        <d v="2024-04-29T00:00:00"/>
        <d v="2024-01-23T00:00:00"/>
        <d v="2023-12-12T00:00:00"/>
        <d v="2024-03-30T00:00:00"/>
        <d v="2023-03-22T00:00:00"/>
        <d v="2024-01-25T00:00:00"/>
        <d v="2024-02-06T00:00:00"/>
        <d v="2023-09-28T00:00:00"/>
        <d v="2023-02-22T00:00:00"/>
        <d v="2024-05-07T00:00:00"/>
        <d v="2024-06-04T00:00:00"/>
        <d v="2023-05-19T00:00:00"/>
        <d v="2024-05-04T00:00:00"/>
        <d v="2023-02-02T00:00:00"/>
        <d v="2023-04-09T00:00:00"/>
        <d v="2024-09-04T00:00:00"/>
        <d v="2024-05-17T00:00:00"/>
        <d v="2024-07-07T00:00:00"/>
        <d v="2023-08-29T00:00:00"/>
        <d v="2024-02-11T00:00:00"/>
        <d v="2024-11-29T00:00:00"/>
        <d v="2024-10-07T00:00:00"/>
        <d v="2023-07-09T00:00:00"/>
        <d v="2023-09-16T00:00:00"/>
        <d v="2024-11-07T00:00:00"/>
        <d v="2024-01-09T00:00:00"/>
        <d v="2024-05-11T00:00:00"/>
        <d v="2024-01-22T00:00:00"/>
        <d v="2023-04-23T00:00:00"/>
        <d v="2023-08-13T00:00:00"/>
        <d v="2024-12-30T00:00:00"/>
        <d v="2023-07-22T00:00:00"/>
        <d v="2024-09-01T00:00:00"/>
        <d v="2024-08-31T00:00:00"/>
        <d v="2024-10-21T00:00:00"/>
        <d v="2023-05-27T00:00:00"/>
        <d v="2024-10-01T00:00:00"/>
        <d v="2024-04-17T00:00:00"/>
        <d v="2023-09-20T00:00:00"/>
        <d v="2023-01-02T00:00:00"/>
        <d v="2023-06-09T00:00:00"/>
        <d v="2023-05-11T00:00:00"/>
        <d v="2024-09-19T00:00:00"/>
        <d v="2023-09-11T00:00:00"/>
        <d v="2023-12-04T00:00:00"/>
        <d v="2023-06-10T00:00:00"/>
        <d v="2024-05-18T00:00:00"/>
        <d v="2023-10-10T00:00:00"/>
        <d v="2024-04-25T00:00:00"/>
        <d v="2024-06-30T00:00:00"/>
        <d v="2023-06-07T00:00:00"/>
        <d v="2023-02-06T00:00:00"/>
        <d v="2024-07-19T00:00:00"/>
        <d v="2023-10-15T00:00:00"/>
        <d v="2023-09-03T00:00:00"/>
        <d v="2024-02-12T00:00:00"/>
        <d v="2024-11-15T00:00:00"/>
        <d v="2024-10-15T00:00:00"/>
        <d v="2024-12-27T00:00:00"/>
        <d v="2024-11-22T00:00:00"/>
        <d v="2023-04-13T00:00:00"/>
        <d v="2023-02-16T00:00:00"/>
        <d v="2024-01-05T00:00:00"/>
        <d v="2024-08-26T00:00:00"/>
        <d v="2023-05-07T00:00:00"/>
        <d v="2024-05-27T00:00:00"/>
        <d v="2024-05-02T00:00:00"/>
        <d v="2024-03-22T00:00:00"/>
        <d v="2023-06-03T00:00:00"/>
        <d v="2023-08-08T00:00:00"/>
        <d v="2024-03-28T00:00:00"/>
        <d v="2024-09-03T00:00:00"/>
        <d v="2024-06-05T00:00:00"/>
        <d v="2024-10-20T00:00:00"/>
        <d v="2024-05-30T00:00:00"/>
        <d v="2024-06-28T00:00:00"/>
        <d v="2024-07-30T00:00:00"/>
        <d v="2024-02-01T00:00:00"/>
        <d v="2023-02-04T00:00:00"/>
        <d v="2024-08-24T00:00:00"/>
        <d v="2024-05-15T00:00:00"/>
        <d v="2024-12-29T00:00:00"/>
        <d v="2024-04-01T00:00:00"/>
        <d v="2024-07-01T00:00:00"/>
        <d v="2024-01-04T00:00:00"/>
        <d v="2023-09-30T00:00:00"/>
        <d v="2023-08-21T00:00:00"/>
        <d v="2024-01-19T00:00:00"/>
        <d v="2023-03-10T00:00:00"/>
        <d v="2024-04-28T00:00:00"/>
        <d v="2024-11-23T00:00:00"/>
        <d v="2023-05-13T00:00:00"/>
        <d v="2024-08-10T00:00:00"/>
        <d v="2023-08-18T00:00:00"/>
        <d v="2024-09-25T00:00:00"/>
        <d v="2024-10-09T00:00:00"/>
        <d v="2023-11-23T00:00:00"/>
        <d v="2024-03-20T00:00:00"/>
        <d v="2024-06-14T00:00:00"/>
        <d v="2023-12-27T00:00:00"/>
        <d v="2024-05-19T00:00:00"/>
        <d v="2023-04-27T00:00:00"/>
        <d v="2023-05-29T00:00:00"/>
        <d v="2024-11-06T00:00:00"/>
        <d v="2023-11-01T00:00:00"/>
        <d v="2023-12-24T00:00:00"/>
        <d v="2023-02-10T00:00:00"/>
        <d v="2024-12-24T00:00:00"/>
        <d v="2024-08-16T00:00:00"/>
        <d v="2023-01-10T00:00:00"/>
        <d v="2023-04-29T00:00:00"/>
        <d v="2023-06-26T00:00:00"/>
        <d v="2024-11-19T00:00:00"/>
        <d v="2024-02-09T00:00:00"/>
        <d v="2024-10-06T00:00:00"/>
        <d v="2023-01-01T00:00:00"/>
        <d v="2023-09-25T00:00:00"/>
        <d v="2024-02-05T00:00:00"/>
        <d v="2024-07-31T00:00:00"/>
        <d v="2023-11-02T00:00:00"/>
        <d v="2024-06-25T00:00:00"/>
        <d v="2023-05-18T00:00:00"/>
        <d v="2023-02-12T00:00:00"/>
        <d v="2023-04-05T00:00:00"/>
        <d v="2024-11-26T00:00:00"/>
        <d v="2024-11-02T00:00:00"/>
        <d v="2023-01-05T00:00:00"/>
        <d v="2023-03-19T00:00:00"/>
        <d v="2023-05-01T00:00:00"/>
        <d v="2023-12-03T00:00:00"/>
        <d v="2023-09-10T00:00:00"/>
        <d v="2024-06-09T00:00:00"/>
        <d v="2024-10-27T00:00:00"/>
        <d v="2024-09-14T00:00:00"/>
        <d v="2023-10-01T00:00:00"/>
        <d v="2024-09-22T00:00:00"/>
        <d v="2023-03-27T00:00:00"/>
        <d v="2023-01-25T00:00:00"/>
        <d v="2023-04-21T00:00:00"/>
        <d v="2023-10-09T00:00:00"/>
        <d v="2024-01-12T00:00:00"/>
        <d v="2023-12-16T00:00:00"/>
        <d v="2023-08-31T00:00:00"/>
        <d v="2023-01-06T00:00:00"/>
        <d v="2024-07-27T00:00:00"/>
        <d v="2024-03-10T00:00:00"/>
        <d v="2024-10-11T00:00:00"/>
        <d v="2023-11-17T00:00:00"/>
        <d v="2024-07-03T00:00:00"/>
        <d v="2023-08-24T00:00:00"/>
        <d v="2023-12-15T00:00:00"/>
        <d v="2023-10-18T00:00:00"/>
        <d v="2023-10-23T00:00:00"/>
        <d v="2024-09-28T00:00:00"/>
        <d v="2024-10-26T00:00:00"/>
        <d v="2024-09-07T00:00:00"/>
        <d v="2024-08-01T00:00:00"/>
        <d v="2023-01-15T00:00:00"/>
        <d v="2024-02-24T00:00:00"/>
        <d v="2024-02-15T00:00:00"/>
        <d v="2023-06-08T00:00:00"/>
        <d v="2023-10-19T00:00:00"/>
        <d v="2023-07-29T00:00:00"/>
        <d v="2023-12-22T00:00:00"/>
        <d v="2023-04-16T00:00:00"/>
        <d v="2023-01-29T00:00:00"/>
        <d v="2024-10-22T00:00:00"/>
        <d v="2023-11-09T00:00:00"/>
        <d v="2024-06-20T00:00:00"/>
        <d v="2024-04-19T00:00:00"/>
        <d v="2023-06-28T00:00:00"/>
        <d v="2023-03-25T00:00:00"/>
        <d v="2023-03-04T00:00:00"/>
        <d v="2023-05-21T00:00:00"/>
        <d v="2024-10-31T00:00:00"/>
        <d v="2024-02-28T00:00:00"/>
        <d v="2023-07-13T00:00:00"/>
        <d v="2024-10-05T00:00:00"/>
        <d v="2024-04-02T00:00:00"/>
        <d v="2023-11-24T00:00:00"/>
        <d v="2023-03-29T00:00:00"/>
        <d v="2024-03-27T00:00:00"/>
        <d v="2023-01-07T00:00:00"/>
        <d v="2024-09-15T00:00:00"/>
        <d v="2024-05-28T00:00:00"/>
        <d v="2023-09-13T00:00:00"/>
        <d v="2024-05-20T00:00:00"/>
        <d v="2024-09-23T00:00:00"/>
        <d v="2023-04-25T00:00:00"/>
        <d v="2023-12-25T00:00:00"/>
        <d v="2023-05-26T00:00:00"/>
        <d v="2023-02-03T00:00:00"/>
        <d v="2024-08-21T00:00:00"/>
        <d v="2023-10-14T00:00:00"/>
        <d v="2024-12-02T00:00:00"/>
        <d v="2023-12-29T00:00:00"/>
        <d v="2023-02-24T00:00:00"/>
        <d v="2023-10-16T00:00:00"/>
        <d v="2024-05-05T00:00:00"/>
        <d v="2023-07-20T00:00:00"/>
        <d v="2023-01-17T00:00:00"/>
        <d v="2023-06-21T00:00:00"/>
        <d v="2023-11-26T00:00:00"/>
        <d v="2024-08-14T00:00:00"/>
        <d v="2023-03-30T00:00:00"/>
        <d v="2024-06-21T00:00:00"/>
        <d v="2024-11-18T00:00:00"/>
        <d v="2023-08-11T00:00:00"/>
        <d v="2024-09-06T00:00:00"/>
        <d v="2023-07-07T00:00:00"/>
        <d v="2023-07-02T00:00:00"/>
        <d v="2024-03-01T00:00:00"/>
        <d v="2024-06-29T00:00:00"/>
        <d v="2024-02-20T00:00:00"/>
        <d v="2024-11-27T00:00:00"/>
        <d v="2024-03-04T00:00:00"/>
        <d v="2023-10-20T00:00:00"/>
        <d v="2024-08-07T00:00:00"/>
        <d v="2023-07-06T00:00:00"/>
        <d v="2024-03-15T00:00:00"/>
        <d v="2023-08-14T00:00:00"/>
        <d v="2024-01-01T00:00:00"/>
        <d v="2024-07-26T00:00:00"/>
        <d v="2023-05-25T00:00:00"/>
        <d v="2024-09-08T00:00:00"/>
        <d v="2023-07-14T00:00:00"/>
        <d v="2023-02-09T00:00:00"/>
        <d v="2023-05-04T00:00:00"/>
        <d v="2024-03-29T00:00:00"/>
        <d v="2024-08-15T00:00:00"/>
        <d v="2023-12-19T00:00:00"/>
        <d v="2024-07-10T00:00:00"/>
        <d v="2024-02-26T00:00:00"/>
        <d v="2023-01-31T00:00:00"/>
        <d v="2024-08-11T00:00:00"/>
        <d v="2024-10-28T00:00:00"/>
        <d v="2024-11-30T00:00:00"/>
        <d v="2024-04-11T00:00:00"/>
        <d v="2024-02-16T00:00:00"/>
        <d v="2023-07-15T00:00:00"/>
        <d v="2023-07-11T00:00:00"/>
        <d v="2024-12-05T00:00:00"/>
        <d v="2023-09-27T00:00:00"/>
        <d v="2023-08-15T00:00:00"/>
        <d v="2024-07-23T00:00:00"/>
        <d v="2023-06-06T00:00:00"/>
        <d v="2023-09-14T00:00:00"/>
        <d v="2023-06-12T00:00:00"/>
        <d v="2024-08-27T00:00:00"/>
        <d v="2023-07-18T00:00:00"/>
        <d v="2024-01-13T00:00:00"/>
        <d v="2023-07-25T00:00:00"/>
        <d v="2024-12-17T00:00:00"/>
        <d v="2023-04-12T00:00:00"/>
        <d v="2024-07-06T00:00:00"/>
        <d v="2023-08-30T00:00:00"/>
        <d v="2023-03-31T00:00:00"/>
        <d v="2024-03-03T00:00:00"/>
        <d v="2023-01-09T00:00:00"/>
        <d v="2023-11-14T00:00:00"/>
        <d v="2023-07-27T00:00:00"/>
        <d v="2024-05-29T00:00:00"/>
        <d v="2023-01-12T00:00:00"/>
        <d v="2023-05-02T00:00:00"/>
        <d v="2024-12-23T00:00:00"/>
        <d v="2024-10-04T00:00:00"/>
        <d v="2023-07-26T00:00:00"/>
        <d v="2023-12-30T00:00:00"/>
        <d v="2024-08-30T00:00:00"/>
        <d v="2024-01-06T00:00:00"/>
        <d v="2024-06-13T00:00:00"/>
        <d v="2024-06-03T00:00:00"/>
        <d v="2023-01-28T00:00:00"/>
        <d v="2024-01-30T00:00:00"/>
        <d v="2023-10-03T00:00:00"/>
        <d v="2023-10-11T00:00:00"/>
        <d v="2023-06-14T00:00:00"/>
        <d v="2024-01-02T00:00:00"/>
        <d v="2023-11-30T00:00:00"/>
        <d v="2023-07-04T00:00:00"/>
        <d v="2023-11-04T00:00:00"/>
        <d v="2023-12-07T00:00:00"/>
        <d v="2024-05-31T00:00:00"/>
        <d v="2023-08-06T00:00:00"/>
        <d v="2023-12-11T00:00:00"/>
        <d v="2024-12-11T00:00:00"/>
        <d v="2024-02-21T00:00:00"/>
        <d v="2023-09-24T00:00:00"/>
        <d v="2023-01-03T00:00:00"/>
        <d v="2024-09-20T00:00:00"/>
        <d v="2023-11-22T00:00:00"/>
        <d v="2023-01-21T00:00:00"/>
        <d v="2023-11-20T00:00:00"/>
        <d v="2024-01-08T00:00:00"/>
        <d v="2024-04-03T00:00:00"/>
        <d v="2023-10-25T00:00:00"/>
        <d v="2024-01-20T00:00:00"/>
        <d v="2023-01-26T00:00:00"/>
        <d v="2023-06-16T00:00:00"/>
        <d v="2024-03-14T00:00:00"/>
        <d v="2024-11-03T00:00:00"/>
        <d v="2024-10-16T00:00:00"/>
        <d v="2024-08-12T00:00:00"/>
        <d v="2023-11-16T00:00:00"/>
        <d v="2023-10-07T00:00:00"/>
        <d v="2023-03-11T00:00:00"/>
        <d v="2024-10-03T00:00:00"/>
        <d v="2024-09-05T00:00:00"/>
        <d v="2024-09-18T00:00:00"/>
        <d v="2024-02-10T00:00:00"/>
        <d v="2024-05-14T00:00:00"/>
        <d v="2024-03-24T00:00:00"/>
        <d v="2023-12-08T00:00:00"/>
        <d v="2024-07-14T00:00:00"/>
        <d v="2023-08-04T00:00:00"/>
        <d v="2023-05-10T00:00:00"/>
        <d v="2023-09-23T00:00:00"/>
        <d v="2023-06-13T00:00:00"/>
        <d v="2023-08-26T00:00:00"/>
        <d v="2023-05-08T00:00:00"/>
        <d v="2024-10-19T00:00:00"/>
        <d v="2024-11-20T00:00:00"/>
        <d v="2023-08-09T00:00:00"/>
        <d v="2024-06-02T00:00:00"/>
        <d v="2024-08-20T00:00:00"/>
        <d v="2024-02-27T00:00:00"/>
        <d v="2024-04-09T00:00:00"/>
        <d v="2024-07-25T00:00:00"/>
        <d v="2023-08-20T00:00:00"/>
        <d v="2024-12-26T00:00:00"/>
        <d v="2023-06-22T00:00:00"/>
        <d v="2023-01-08T00:00:00"/>
        <d v="2024-09-12T00:00:00"/>
        <d v="2023-05-28T00:00:00"/>
        <d v="2024-10-12T00:00:00"/>
        <d v="2023-11-25T00:00:00"/>
        <d v="2024-01-17T00:00:00"/>
        <d v="2024-10-13T00:00:00"/>
        <d v="2024-06-06T00:00:00"/>
        <d v="2024-02-18T00:00:00"/>
        <d v="2024-09-29T00:00:00"/>
        <d v="2024-04-10T00:00:00"/>
        <d v="2024-07-15T00:00:00"/>
        <d v="2024-04-05T00:00:00"/>
        <d v="2023-04-18T00:00:00"/>
        <d v="2023-12-28T00:00:00"/>
        <d v="2023-03-07T00:00:00"/>
        <d v="2023-01-14T00:00:00"/>
        <d v="2024-01-16T00:00:00"/>
        <d v="2023-01-20T00:00:00"/>
        <d v="2024-06-19T00:00:00"/>
        <d v="2023-03-01T00:00:00"/>
        <d v="2024-10-25T00:00:00"/>
        <d v="2024-12-04T00:00:00"/>
        <d v="2024-02-03T00:00:00"/>
        <d v="2023-05-17T00:00:00"/>
        <d v="2024-08-03T00:00:00"/>
        <d v="2023-03-15T00:00:00"/>
        <d v="2024-12-25T00:00:00"/>
        <d v="2024-02-04T00:00:00"/>
        <d v="2024-07-09T00:00:00"/>
        <d v="2023-09-07T00:00:00"/>
        <d v="2024-05-08T00:00:00"/>
        <d v="2023-05-24T00:00:00"/>
        <d v="2023-12-10T00:00:00"/>
        <d v="2024-06-15T00:00:00"/>
        <d v="2023-02-13T00:00:00"/>
        <d v="2024-03-11T00:00:00"/>
        <d v="2024-12-09T00:00:00"/>
        <d v="2024-05-22T00:00:00"/>
        <d v="2024-07-12T00:00:00"/>
        <d v="2024-04-12T00:00:00"/>
        <d v="2024-06-27T00:00:00"/>
        <d v="2023-05-09T00:00:00"/>
        <d v="2023-09-26T00:00:00"/>
        <d v="2024-07-24T00:00:00"/>
        <d v="2024-03-09T00:00:00"/>
        <d v="2024-03-25T00:00:00"/>
        <d v="2023-10-04T00:00:00"/>
        <d v="2024-11-05T00:00:00"/>
        <d v="2023-11-10T00:00:00"/>
        <d v="2023-09-05T00:00:00"/>
        <d v="2023-07-10T00:00:00"/>
        <d v="2024-03-18T00:00:00"/>
        <d v="2024-05-21T00:00:00"/>
        <d v="2024-09-13T00:00:00"/>
        <d v="2024-01-10T00:00:00"/>
        <d v="2023-04-30T00:00:00"/>
        <d v="2023-10-13T00:00:00"/>
        <d v="2024-11-25T00:00:00"/>
        <d v="2024-12-28T00:00:00"/>
        <d v="2023-11-28T00:00:00"/>
        <d v="2023-04-19T00:00:00"/>
        <d v="2023-04-15T00:00:00"/>
        <d v="2023-12-23T00:00:00"/>
        <d v="2023-12-26T00:00:00"/>
        <d v="2023-04-28T00:00:00"/>
        <d v="2023-07-12T00:00:00"/>
        <d v="2024-02-23T00:00:00"/>
        <d v="2024-07-29T00:00:00"/>
        <d v="2023-07-23T00:00:00"/>
        <d v="2024-01-11T00:00:00"/>
        <d v="2023-08-22T00:00:00"/>
        <d v="2023-09-02T00:00:00"/>
        <d v="2023-06-19T00:00:00"/>
        <d v="2024-01-14T00:00:00"/>
        <d v="2024-06-16T00:00:00"/>
        <d v="2023-04-14T00:00:00"/>
        <d v="2024-05-01T00:00:00"/>
        <d v="2024-06-07T00:00:00"/>
        <d v="2024-09-11T00:00:00"/>
        <d v="2023-08-16T00:00:00"/>
        <d v="2024-11-17T00:00:00"/>
        <d v="2024-07-02T00:00:00"/>
        <d v="2024-08-06T00:00:00"/>
        <d v="2023-10-17T00:00:00"/>
        <d v="2024-10-17T00:00:00"/>
        <d v="2023-07-03T00:00:00"/>
        <d v="2023-08-03T00:00:00"/>
        <d v="2023-08-19T00:00:00"/>
        <d v="2024-03-12T00:00:00"/>
        <d v="2023-10-08T00:00:00"/>
        <d v="2023-07-24T00:00:00"/>
        <d v="2024-12-16T00:00:00"/>
        <d v="2024-11-21T00:00:00"/>
        <d v="2023-08-23T00:00:00"/>
        <d v="2023-10-31T00:00:00"/>
        <d v="2024-05-10T00:00:00"/>
        <d v="2024-06-11T00:00:00"/>
        <d v="2023-04-10T00:00:00"/>
        <d v="2023-03-06T00:00:00"/>
        <d v="2024-02-02T00:00:00"/>
        <d v="2024-02-13T00:00:00"/>
        <d v="2024-11-28T00:00:00"/>
      </sharedItems>
      <fieldGroup par="22"/>
    </cacheField>
    <cacheField name="StoreID" numFmtId="0">
      <sharedItems count="50">
        <s v="S002"/>
        <s v="S009"/>
        <s v="S038"/>
        <s v="S014"/>
        <s v="S036"/>
        <s v="S015"/>
        <s v="S049"/>
        <s v="S018"/>
        <s v="S006"/>
        <s v="S039"/>
        <s v="S025"/>
        <s v="S037"/>
        <s v="S043"/>
        <s v="S007"/>
        <s v="S011"/>
        <s v="S045"/>
        <s v="S035"/>
        <s v="S044"/>
        <s v="S021"/>
        <s v="S026"/>
        <s v="S048"/>
        <s v="S024"/>
        <s v="S041"/>
        <s v="S050"/>
        <s v="S028"/>
        <s v="S033"/>
        <s v="S010"/>
        <s v="S016"/>
        <s v="S005"/>
        <s v="S034"/>
        <s v="S004"/>
        <s v="S032"/>
        <s v="S030"/>
        <s v="S008"/>
        <s v="S040"/>
        <s v="S017"/>
        <s v="S003"/>
        <s v="S023"/>
        <s v="S042"/>
        <s v="S047"/>
        <s v="S046"/>
        <s v="S013"/>
        <s v="S031"/>
        <s v="S027"/>
        <s v="S001"/>
        <s v="S029"/>
        <s v="S022"/>
        <s v="S020"/>
        <s v="S019"/>
        <s v="S012"/>
      </sharedItems>
    </cacheField>
    <cacheField name="ProductID" numFmtId="0">
      <sharedItems/>
    </cacheField>
    <cacheField name="Category" numFmtId="0">
      <sharedItems count="7">
        <s v="Tops"/>
        <s v="Activewear"/>
        <s v="Accessories"/>
        <s v="Footwear"/>
        <s v="Shoes"/>
        <s v="Clothing"/>
        <s v="Dresses"/>
      </sharedItems>
    </cacheField>
    <cacheField name="Quantity" numFmtId="0">
      <sharedItems containsSemiMixedTypes="0" containsString="0" containsNumber="1" containsInteger="1" minValue="1" maxValue="4"/>
    </cacheField>
    <cacheField name="UnitPrice" numFmtId="0">
      <sharedItems containsSemiMixedTypes="0" containsString="0" containsNumber="1" minValue="305.26" maxValue="4998.6499999999996"/>
    </cacheField>
    <cacheField name="Discount" numFmtId="0">
      <sharedItems containsSemiMixedTypes="0" containsString="0" containsNumber="1" containsInteger="1" minValue="0" maxValue="30"/>
    </cacheField>
    <cacheField name="Discount Brand" numFmtId="0">
      <sharedItems count="3">
        <s v="0-10%"/>
        <s v="10-20%"/>
        <s v="20-30%"/>
      </sharedItems>
    </cacheField>
    <cacheField name="CostPerUnit" numFmtId="0">
      <sharedItems containsSemiMixedTypes="0" containsString="0" containsNumber="1" minValue="131.1" maxValue="3460.15"/>
    </cacheField>
    <cacheField name="CustomerType" numFmtId="0">
      <sharedItems count="3">
        <s v="Returning"/>
        <s v="New"/>
        <s v="Unknown"/>
      </sharedItems>
    </cacheField>
    <cacheField name="PaymentMode" numFmtId="0">
      <sharedItems/>
    </cacheField>
    <cacheField name="Total Cost" numFmtId="0">
      <sharedItems containsSemiMixedTypes="0" containsString="0" containsNumber="1" minValue="131.1" maxValue="13840.6"/>
    </cacheField>
    <cacheField name="Revenue" numFmtId="0">
      <sharedItems containsSemiMixedTypes="0" containsString="0" containsNumber="1" minValue="265.82900000000001" maxValue="19994.599999999999"/>
    </cacheField>
    <cacheField name="Profit" numFmtId="0">
      <sharedItems containsSemiMixedTypes="0" containsString="0" containsNumber="1" minValue="19.307000000000016" maxValue="11093.88"/>
    </cacheField>
    <cacheField name="Profit Margin" numFmtId="10">
      <sharedItems containsSemiMixedTypes="0" containsString="0" containsNumber="1" minValue="1.6660381738212753E-2" maxValue="0.59899563832289238"/>
    </cacheField>
    <cacheField name="Weekend Sell" numFmtId="0">
      <sharedItems count="2">
        <s v="Weekday"/>
        <s v="Weekend"/>
      </sharedItems>
    </cacheField>
    <cacheField name="Month" numFmtId="0">
      <sharedItems/>
    </cacheField>
    <cacheField name="Year" numFmtId="0">
      <sharedItems containsSemiMixedTypes="0" containsString="0" containsNumber="1" containsInteger="1" minValue="2023" maxValue="2024"/>
    </cacheField>
    <cacheField name="Profitable Margin" numFmtId="0" formula="Profit/Revenue" databaseField="0"/>
    <cacheField name="Months (Date)" numFmtId="0" databaseField="0">
      <fieldGroup base="1">
        <rangePr groupBy="months" startDate="2023-01-01T00:00:00" endDate="2024-12-3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Date)" numFmtId="0" databaseField="0">
      <fieldGroup base="1">
        <rangePr groupBy="quarters" startDate="2023-01-01T00:00:00" endDate="2024-12-31T00:00:00"/>
        <groupItems count="6">
          <s v="&lt;01-01-2023"/>
          <s v="Qtr1"/>
          <s v="Qtr2"/>
          <s v="Qtr3"/>
          <s v="Qtr4"/>
          <s v="&gt;31-12-2024"/>
        </groupItems>
      </fieldGroup>
    </cacheField>
    <cacheField name="Years (Date)" numFmtId="0" databaseField="0">
      <fieldGroup base="1">
        <rangePr groupBy="years" startDate="2023-01-01T00:00:00" endDate="2024-12-31T00:00:00"/>
        <groupItems count="4">
          <s v="&lt;01-01-2023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00000"/>
    <x v="0"/>
    <x v="0"/>
    <s v="P0189"/>
    <x v="0"/>
    <n v="3"/>
    <n v="4043.75"/>
    <n v="5"/>
    <x v="0"/>
    <n v="1840.03"/>
    <x v="0"/>
    <s v="Card"/>
    <n v="5520.09"/>
    <n v="11524.6875"/>
    <n v="6004.5974999999999"/>
    <n v="0.52102041812413569"/>
    <x v="0"/>
    <s v="Mar"/>
    <n v="2023"/>
  </r>
  <r>
    <n v="100001"/>
    <x v="1"/>
    <x v="1"/>
    <s v="P0088"/>
    <x v="0"/>
    <n v="1"/>
    <n v="1033.29"/>
    <n v="15"/>
    <x v="1"/>
    <n v="461.67"/>
    <x v="1"/>
    <s v="Digital"/>
    <n v="461.67"/>
    <n v="878.29649999999992"/>
    <n v="416.62649999999991"/>
    <n v="0.47435746356725766"/>
    <x v="0"/>
    <s v="Nov"/>
    <n v="2023"/>
  </r>
  <r>
    <n v="100002"/>
    <x v="2"/>
    <x v="2"/>
    <s v="P0053"/>
    <x v="1"/>
    <n v="1"/>
    <n v="3125.24"/>
    <n v="5"/>
    <x v="0"/>
    <n v="1913.97"/>
    <x v="1"/>
    <s v="Cash"/>
    <n v="1913.97"/>
    <n v="2968.9779999999996"/>
    <n v="1055.0079999999996"/>
    <n v="0.35534382538368414"/>
    <x v="0"/>
    <s v="Oct"/>
    <n v="2024"/>
  </r>
  <r>
    <n v="100003"/>
    <x v="3"/>
    <x v="3"/>
    <s v="P0192"/>
    <x v="2"/>
    <n v="2"/>
    <n v="3693.39"/>
    <n v="5"/>
    <x v="0"/>
    <n v="2517.29"/>
    <x v="2"/>
    <s v="Digital"/>
    <n v="5034.58"/>
    <n v="7017.4409999999998"/>
    <n v="1982.8609999999999"/>
    <n v="0.28256183415008407"/>
    <x v="1"/>
    <s v="Jan"/>
    <n v="2024"/>
  </r>
  <r>
    <n v="100004"/>
    <x v="4"/>
    <x v="4"/>
    <s v="P0089"/>
    <x v="2"/>
    <n v="4"/>
    <n v="1162"/>
    <n v="0"/>
    <x v="0"/>
    <n v="570.86"/>
    <x v="2"/>
    <s v="Digital"/>
    <n v="2283.44"/>
    <n v="4648"/>
    <n v="2364.56"/>
    <n v="0.50872633390705679"/>
    <x v="1"/>
    <s v="Jan"/>
    <n v="2023"/>
  </r>
  <r>
    <n v="100005"/>
    <x v="5"/>
    <x v="5"/>
    <s v="P0188"/>
    <x v="1"/>
    <n v="1"/>
    <n v="2766.44"/>
    <n v="30"/>
    <x v="2"/>
    <n v="1438.43"/>
    <x v="2"/>
    <s v="UPI"/>
    <n v="1438.43"/>
    <n v="1936.5079999999998"/>
    <n v="498.07799999999975"/>
    <n v="0.25720420468182925"/>
    <x v="1"/>
    <s v="Apr"/>
    <n v="2024"/>
  </r>
  <r>
    <n v="100006"/>
    <x v="6"/>
    <x v="6"/>
    <s v="P0108"/>
    <x v="3"/>
    <n v="4"/>
    <n v="1394.03"/>
    <n v="0"/>
    <x v="0"/>
    <n v="595.5"/>
    <x v="1"/>
    <s v="NetBanking"/>
    <n v="2382"/>
    <n v="5576.12"/>
    <n v="3194.12"/>
    <n v="0.57282124487995234"/>
    <x v="0"/>
    <s v="Jul"/>
    <n v="2024"/>
  </r>
  <r>
    <n v="100007"/>
    <x v="7"/>
    <x v="7"/>
    <s v="P0051"/>
    <x v="2"/>
    <n v="3"/>
    <n v="4921.1899999999996"/>
    <n v="25"/>
    <x v="2"/>
    <n v="2657.58"/>
    <x v="1"/>
    <s v="UPI"/>
    <n v="7972.74"/>
    <n v="11072.6775"/>
    <n v="3099.9375"/>
    <n v="0.27996277323167773"/>
    <x v="0"/>
    <s v="Apr"/>
    <n v="2024"/>
  </r>
  <r>
    <n v="100008"/>
    <x v="8"/>
    <x v="8"/>
    <s v="P0089"/>
    <x v="1"/>
    <n v="3"/>
    <n v="1101.46"/>
    <n v="5"/>
    <x v="0"/>
    <n v="462.08"/>
    <x v="1"/>
    <s v="UPI"/>
    <n v="1386.24"/>
    <n v="3139.1610000000001"/>
    <n v="1752.921"/>
    <n v="0.55840429974760775"/>
    <x v="0"/>
    <s v="Jan"/>
    <n v="2024"/>
  </r>
  <r>
    <n v="100009"/>
    <x v="9"/>
    <x v="9"/>
    <s v="P0053"/>
    <x v="4"/>
    <n v="4"/>
    <n v="2947.45"/>
    <n v="25"/>
    <x v="2"/>
    <n v="1519.78"/>
    <x v="1"/>
    <s v="NetBanking"/>
    <n v="6079.12"/>
    <n v="8842.3499999999985"/>
    <n v="2763.2299999999987"/>
    <n v="0.31249950522202796"/>
    <x v="0"/>
    <s v="Dec"/>
    <n v="2023"/>
  </r>
  <r>
    <n v="100010"/>
    <x v="10"/>
    <x v="10"/>
    <s v="P0172"/>
    <x v="5"/>
    <n v="2"/>
    <n v="3515.9"/>
    <n v="5"/>
    <x v="0"/>
    <n v="1870.62"/>
    <x v="2"/>
    <s v="UPI"/>
    <n v="3741.24"/>
    <n v="6680.21"/>
    <n v="2938.9700000000003"/>
    <n v="0.43995173804416332"/>
    <x v="1"/>
    <s v="Mar"/>
    <n v="2024"/>
  </r>
  <r>
    <n v="100011"/>
    <x v="11"/>
    <x v="11"/>
    <s v="P0164"/>
    <x v="2"/>
    <n v="1"/>
    <n v="4216.0200000000004"/>
    <n v="25"/>
    <x v="2"/>
    <n v="1905.68"/>
    <x v="2"/>
    <s v="Cash"/>
    <n v="1905.68"/>
    <n v="3162.0150000000003"/>
    <n v="1256.3350000000003"/>
    <n v="0.39732101207616033"/>
    <x v="0"/>
    <s v="Mar"/>
    <n v="2023"/>
  </r>
  <r>
    <n v="100012"/>
    <x v="12"/>
    <x v="12"/>
    <s v="P0054"/>
    <x v="2"/>
    <n v="2"/>
    <n v="3413.85"/>
    <n v="0"/>
    <x v="0"/>
    <n v="1684.78"/>
    <x v="0"/>
    <s v="Cash"/>
    <n v="3369.56"/>
    <n v="6827.7"/>
    <n v="3458.14"/>
    <n v="0.50648681107840121"/>
    <x v="0"/>
    <s v="Jan"/>
    <n v="2024"/>
  </r>
  <r>
    <n v="100013"/>
    <x v="13"/>
    <x v="13"/>
    <s v="P0044"/>
    <x v="1"/>
    <n v="2"/>
    <n v="2968.19"/>
    <n v="15"/>
    <x v="1"/>
    <n v="1215.1600000000001"/>
    <x v="0"/>
    <s v="NetBanking"/>
    <n v="2430.3200000000002"/>
    <n v="5045.9229999999998"/>
    <n v="2615.6029999999996"/>
    <n v="0.51835967374056235"/>
    <x v="0"/>
    <s v="Feb"/>
    <n v="2024"/>
  </r>
  <r>
    <n v="100014"/>
    <x v="14"/>
    <x v="14"/>
    <s v="P0190"/>
    <x v="4"/>
    <n v="2"/>
    <n v="2157.21"/>
    <n v="25"/>
    <x v="2"/>
    <n v="1462.58"/>
    <x v="0"/>
    <s v="Card"/>
    <n v="2925.16"/>
    <n v="3235.8150000000001"/>
    <n v="310.6550000000002"/>
    <n v="9.6005179529732143E-2"/>
    <x v="0"/>
    <s v="Sep"/>
    <n v="2023"/>
  </r>
  <r>
    <n v="100015"/>
    <x v="15"/>
    <x v="15"/>
    <s v="P0024"/>
    <x v="0"/>
    <n v="4"/>
    <n v="4269.3100000000004"/>
    <n v="20"/>
    <x v="1"/>
    <n v="2664.89"/>
    <x v="2"/>
    <s v="Cash"/>
    <n v="10659.56"/>
    <n v="13661.792000000001"/>
    <n v="3002.2320000000018"/>
    <n v="0.2197538946574506"/>
    <x v="0"/>
    <s v="Feb"/>
    <n v="2023"/>
  </r>
  <r>
    <n v="100016"/>
    <x v="16"/>
    <x v="16"/>
    <s v="P0041"/>
    <x v="0"/>
    <n v="2"/>
    <n v="4836.7"/>
    <n v="10"/>
    <x v="0"/>
    <n v="2815.49"/>
    <x v="1"/>
    <s v="Card"/>
    <n v="5630.98"/>
    <n v="8706.06"/>
    <n v="3075.08"/>
    <n v="0.35321144122599663"/>
    <x v="0"/>
    <s v="May"/>
    <n v="2024"/>
  </r>
  <r>
    <n v="100017"/>
    <x v="17"/>
    <x v="10"/>
    <s v="P0088"/>
    <x v="4"/>
    <n v="1"/>
    <n v="4070.33"/>
    <n v="0"/>
    <x v="0"/>
    <n v="1719.17"/>
    <x v="2"/>
    <s v="Digital"/>
    <n v="1719.17"/>
    <n v="4070.33"/>
    <n v="2351.16"/>
    <n v="0.57763375451130494"/>
    <x v="0"/>
    <s v="Jun"/>
    <n v="2024"/>
  </r>
  <r>
    <n v="100018"/>
    <x v="18"/>
    <x v="17"/>
    <s v="P0081"/>
    <x v="4"/>
    <n v="1"/>
    <n v="1233.96"/>
    <n v="15"/>
    <x v="1"/>
    <n v="495.63"/>
    <x v="1"/>
    <s v="Card"/>
    <n v="495.63"/>
    <n v="1048.866"/>
    <n v="553.23599999999999"/>
    <n v="0.5274610865448971"/>
    <x v="0"/>
    <s v="May"/>
    <n v="2023"/>
  </r>
  <r>
    <n v="100019"/>
    <x v="19"/>
    <x v="18"/>
    <s v="P0041"/>
    <x v="1"/>
    <n v="4"/>
    <n v="3726.33"/>
    <n v="0"/>
    <x v="0"/>
    <n v="2352.73"/>
    <x v="0"/>
    <s v="Cash"/>
    <n v="9410.92"/>
    <n v="14905.32"/>
    <n v="5494.4"/>
    <n v="0.36862006317207546"/>
    <x v="1"/>
    <s v="May"/>
    <n v="2024"/>
  </r>
  <r>
    <n v="100020"/>
    <x v="20"/>
    <x v="11"/>
    <s v="P0048"/>
    <x v="0"/>
    <n v="4"/>
    <n v="4356.59"/>
    <n v="15"/>
    <x v="1"/>
    <n v="2557.27"/>
    <x v="0"/>
    <s v="Card"/>
    <n v="10229.08"/>
    <n v="14812.406000000001"/>
    <n v="4583.3260000000009"/>
    <n v="0.30942481592794585"/>
    <x v="0"/>
    <s v="Feb"/>
    <n v="2023"/>
  </r>
  <r>
    <n v="100021"/>
    <x v="21"/>
    <x v="19"/>
    <s v="P0172"/>
    <x v="0"/>
    <n v="3"/>
    <n v="1761.62"/>
    <n v="0"/>
    <x v="0"/>
    <n v="876.5"/>
    <x v="0"/>
    <s v="Card"/>
    <n v="2629.5"/>
    <n v="5284.86"/>
    <n v="2655.3599999999997"/>
    <n v="0.50244661164155713"/>
    <x v="1"/>
    <s v="Apr"/>
    <n v="2023"/>
  </r>
  <r>
    <n v="100022"/>
    <x v="22"/>
    <x v="1"/>
    <s v="P0175"/>
    <x v="2"/>
    <n v="4"/>
    <n v="1591.19"/>
    <n v="20"/>
    <x v="1"/>
    <n v="904.39"/>
    <x v="2"/>
    <s v="Digital"/>
    <n v="3617.56"/>
    <n v="5091.8080000000009"/>
    <n v="1474.248000000001"/>
    <n v="0.28953330526209958"/>
    <x v="0"/>
    <s v="Sep"/>
    <n v="2024"/>
  </r>
  <r>
    <n v="100023"/>
    <x v="23"/>
    <x v="20"/>
    <s v="P0142"/>
    <x v="6"/>
    <n v="2"/>
    <n v="4289.8900000000003"/>
    <n v="20"/>
    <x v="1"/>
    <n v="2644.8"/>
    <x v="0"/>
    <s v="Digital"/>
    <n v="5289.6"/>
    <n v="6863.8240000000005"/>
    <n v="1574.2240000000002"/>
    <n v="0.22935086913650468"/>
    <x v="0"/>
    <s v="May"/>
    <n v="2024"/>
  </r>
  <r>
    <n v="100024"/>
    <x v="24"/>
    <x v="21"/>
    <s v="P0124"/>
    <x v="2"/>
    <n v="3"/>
    <n v="490.04"/>
    <n v="30"/>
    <x v="2"/>
    <n v="300.49"/>
    <x v="1"/>
    <s v="Digital"/>
    <n v="901.47"/>
    <n v="1029.0840000000001"/>
    <n v="127.61400000000003"/>
    <n v="0.12400736966078574"/>
    <x v="1"/>
    <s v="Jul"/>
    <n v="2024"/>
  </r>
  <r>
    <n v="100025"/>
    <x v="25"/>
    <x v="8"/>
    <s v="P0052"/>
    <x v="3"/>
    <n v="1"/>
    <n v="1248.08"/>
    <n v="0"/>
    <x v="0"/>
    <n v="834.63"/>
    <x v="1"/>
    <s v="Cash"/>
    <n v="834.63"/>
    <n v="1248.08"/>
    <n v="413.44999999999993"/>
    <n v="0.33126882892122295"/>
    <x v="0"/>
    <s v="Aug"/>
    <n v="2023"/>
  </r>
  <r>
    <n v="100026"/>
    <x v="26"/>
    <x v="22"/>
    <s v="P0143"/>
    <x v="2"/>
    <n v="1"/>
    <n v="2690.28"/>
    <n v="10"/>
    <x v="0"/>
    <n v="1808.59"/>
    <x v="2"/>
    <s v="NetBanking"/>
    <n v="1808.59"/>
    <n v="2421.2520000000004"/>
    <n v="612.66200000000049"/>
    <n v="0.2530352065790758"/>
    <x v="1"/>
    <s v="Feb"/>
    <n v="2024"/>
  </r>
  <r>
    <n v="100027"/>
    <x v="27"/>
    <x v="10"/>
    <s v="P0086"/>
    <x v="1"/>
    <n v="3"/>
    <n v="1254.3900000000001"/>
    <n v="5"/>
    <x v="0"/>
    <n v="856.57"/>
    <x v="2"/>
    <s v="NetBanking"/>
    <n v="2569.71"/>
    <n v="3575.0115000000001"/>
    <n v="1005.3015"/>
    <n v="0.28120231221633835"/>
    <x v="0"/>
    <s v="Nov"/>
    <n v="2024"/>
  </r>
  <r>
    <n v="100028"/>
    <x v="28"/>
    <x v="4"/>
    <s v="P0028"/>
    <x v="3"/>
    <n v="4"/>
    <n v="4669.58"/>
    <n v="20"/>
    <x v="1"/>
    <n v="2999.91"/>
    <x v="1"/>
    <s v="Cash"/>
    <n v="11999.64"/>
    <n v="14942.656000000001"/>
    <n v="2943.0160000000014"/>
    <n v="0.19695400871170435"/>
    <x v="0"/>
    <s v="Oct"/>
    <n v="2024"/>
  </r>
  <r>
    <n v="100029"/>
    <x v="1"/>
    <x v="23"/>
    <s v="P0128"/>
    <x v="0"/>
    <n v="4"/>
    <n v="1326.67"/>
    <n v="20"/>
    <x v="1"/>
    <n v="696.44"/>
    <x v="0"/>
    <s v="Cash"/>
    <n v="2785.76"/>
    <n v="4245.3440000000001"/>
    <n v="1459.5839999999998"/>
    <n v="0.34380818138647889"/>
    <x v="0"/>
    <s v="Nov"/>
    <n v="2023"/>
  </r>
  <r>
    <n v="100030"/>
    <x v="29"/>
    <x v="24"/>
    <s v="P0129"/>
    <x v="2"/>
    <n v="2"/>
    <n v="873.81"/>
    <n v="20"/>
    <x v="1"/>
    <n v="442.92"/>
    <x v="0"/>
    <s v="Cash"/>
    <n v="885.84"/>
    <n v="1398.096"/>
    <n v="512.25599999999997"/>
    <n v="0.36639544065643559"/>
    <x v="1"/>
    <s v="Jul"/>
    <n v="2023"/>
  </r>
  <r>
    <n v="100031"/>
    <x v="30"/>
    <x v="25"/>
    <s v="P0103"/>
    <x v="3"/>
    <n v="1"/>
    <n v="3344.14"/>
    <n v="20"/>
    <x v="1"/>
    <n v="1338.18"/>
    <x v="1"/>
    <s v="Digital"/>
    <n v="1338.18"/>
    <n v="2675.3119999999999"/>
    <n v="1337.1319999999998"/>
    <n v="0.49980413499434828"/>
    <x v="1"/>
    <s v="Sep"/>
    <n v="2023"/>
  </r>
  <r>
    <n v="100032"/>
    <x v="31"/>
    <x v="22"/>
    <s v="P0051"/>
    <x v="4"/>
    <n v="2"/>
    <n v="2700.51"/>
    <n v="5"/>
    <x v="0"/>
    <n v="1418.37"/>
    <x v="2"/>
    <s v="Digital"/>
    <n v="2836.74"/>
    <n v="5130.9690000000001"/>
    <n v="2294.2290000000003"/>
    <n v="0.44713367007284593"/>
    <x v="0"/>
    <s v="Nov"/>
    <n v="2024"/>
  </r>
  <r>
    <n v="100033"/>
    <x v="32"/>
    <x v="26"/>
    <s v="P0160"/>
    <x v="4"/>
    <n v="2"/>
    <n v="1886.79"/>
    <n v="15"/>
    <x v="1"/>
    <n v="1288.44"/>
    <x v="1"/>
    <s v="Digital"/>
    <n v="2576.88"/>
    <n v="3207.5429999999997"/>
    <n v="630.66299999999956"/>
    <n v="0.19661872031021863"/>
    <x v="0"/>
    <s v="Jan"/>
    <n v="2024"/>
  </r>
  <r>
    <n v="100034"/>
    <x v="33"/>
    <x v="9"/>
    <s v="P0186"/>
    <x v="4"/>
    <n v="4"/>
    <n v="2923.08"/>
    <n v="0"/>
    <x v="0"/>
    <n v="1523.37"/>
    <x v="0"/>
    <s v="Cash"/>
    <n v="6093.48"/>
    <n v="11692.32"/>
    <n v="5598.84"/>
    <n v="0.47884765384457495"/>
    <x v="1"/>
    <s v="May"/>
    <n v="2024"/>
  </r>
  <r>
    <n v="100035"/>
    <x v="34"/>
    <x v="21"/>
    <s v="P0113"/>
    <x v="3"/>
    <n v="4"/>
    <n v="1460.32"/>
    <n v="5"/>
    <x v="0"/>
    <n v="889.18"/>
    <x v="0"/>
    <s v="Card"/>
    <n v="3556.72"/>
    <n v="5549.2159999999994"/>
    <n v="1992.4959999999996"/>
    <n v="0.35905900941682573"/>
    <x v="0"/>
    <s v="Jan"/>
    <n v="2024"/>
  </r>
  <r>
    <n v="100036"/>
    <x v="35"/>
    <x v="27"/>
    <s v="P0002"/>
    <x v="6"/>
    <n v="1"/>
    <n v="1638.75"/>
    <n v="0"/>
    <x v="0"/>
    <n v="673.63"/>
    <x v="1"/>
    <s v="Cash"/>
    <n v="673.63"/>
    <n v="1638.75"/>
    <n v="965.12"/>
    <n v="0.58893668954996181"/>
    <x v="1"/>
    <s v="Apr"/>
    <n v="2023"/>
  </r>
  <r>
    <n v="100037"/>
    <x v="36"/>
    <x v="28"/>
    <s v="P0129"/>
    <x v="3"/>
    <n v="2"/>
    <n v="2231.87"/>
    <n v="0"/>
    <x v="0"/>
    <n v="914.88"/>
    <x v="2"/>
    <s v="Card"/>
    <n v="1829.76"/>
    <n v="4463.74"/>
    <n v="2633.9799999999996"/>
    <n v="0.59008365182559908"/>
    <x v="1"/>
    <s v="Aug"/>
    <n v="2023"/>
  </r>
  <r>
    <n v="100038"/>
    <x v="37"/>
    <x v="12"/>
    <s v="P0160"/>
    <x v="1"/>
    <n v="3"/>
    <n v="3499.32"/>
    <n v="10"/>
    <x v="0"/>
    <n v="1957.1"/>
    <x v="2"/>
    <s v="Card"/>
    <n v="5871.2999999999993"/>
    <n v="9448.1640000000007"/>
    <n v="3576.8640000000014"/>
    <n v="0.37857767921894681"/>
    <x v="0"/>
    <s v="Dec"/>
    <n v="2024"/>
  </r>
  <r>
    <n v="100039"/>
    <x v="38"/>
    <x v="29"/>
    <s v="P0184"/>
    <x v="3"/>
    <n v="2"/>
    <n v="1437.66"/>
    <n v="20"/>
    <x v="1"/>
    <n v="864.95"/>
    <x v="2"/>
    <s v="NetBanking"/>
    <n v="1729.9"/>
    <n v="2300.2560000000003"/>
    <n v="570.35600000000022"/>
    <n v="0.24795327128806538"/>
    <x v="1"/>
    <s v="Jul"/>
    <n v="2023"/>
  </r>
  <r>
    <n v="100040"/>
    <x v="39"/>
    <x v="16"/>
    <s v="P0198"/>
    <x v="3"/>
    <n v="3"/>
    <n v="1438.15"/>
    <n v="15"/>
    <x v="1"/>
    <n v="921.77"/>
    <x v="2"/>
    <s v="Card"/>
    <n v="2765.31"/>
    <n v="3667.2825000000007"/>
    <n v="901.97250000000076"/>
    <n v="0.24595119137944801"/>
    <x v="1"/>
    <s v="Sep"/>
    <n v="2024"/>
  </r>
  <r>
    <n v="100041"/>
    <x v="40"/>
    <x v="19"/>
    <s v="P0124"/>
    <x v="0"/>
    <n v="2"/>
    <n v="2818.14"/>
    <n v="20"/>
    <x v="1"/>
    <n v="1203.5899999999999"/>
    <x v="2"/>
    <s v="UPI"/>
    <n v="2407.1799999999998"/>
    <n v="4509.0240000000003"/>
    <n v="2101.8440000000005"/>
    <n v="0.46614167500550013"/>
    <x v="1"/>
    <s v="Aug"/>
    <n v="2024"/>
  </r>
  <r>
    <n v="100042"/>
    <x v="41"/>
    <x v="29"/>
    <s v="P0187"/>
    <x v="1"/>
    <n v="3"/>
    <n v="1176.6400000000001"/>
    <n v="0"/>
    <x v="0"/>
    <n v="485.05"/>
    <x v="1"/>
    <s v="Card"/>
    <n v="1455.15"/>
    <n v="3529.92"/>
    <n v="2074.77"/>
    <n v="0.58776686157193359"/>
    <x v="0"/>
    <s v="Oct"/>
    <n v="2024"/>
  </r>
  <r>
    <n v="100043"/>
    <x v="42"/>
    <x v="28"/>
    <s v="P0148"/>
    <x v="4"/>
    <n v="4"/>
    <n v="377.96"/>
    <n v="15"/>
    <x v="1"/>
    <n v="209.25"/>
    <x v="1"/>
    <s v="Digital"/>
    <n v="837"/>
    <n v="1285.0639999999999"/>
    <n v="448.06399999999985"/>
    <n v="0.34867057204932977"/>
    <x v="1"/>
    <s v="May"/>
    <n v="2023"/>
  </r>
  <r>
    <n v="100044"/>
    <x v="43"/>
    <x v="2"/>
    <s v="P0039"/>
    <x v="2"/>
    <n v="4"/>
    <n v="752.03"/>
    <n v="15"/>
    <x v="1"/>
    <n v="513"/>
    <x v="1"/>
    <s v="Cash"/>
    <n v="2052"/>
    <n v="2556.902"/>
    <n v="504.90200000000004"/>
    <n v="0.1974663088378045"/>
    <x v="0"/>
    <s v="Oct"/>
    <n v="2024"/>
  </r>
  <r>
    <n v="100045"/>
    <x v="44"/>
    <x v="5"/>
    <s v="P0178"/>
    <x v="5"/>
    <n v="2"/>
    <n v="4237.24"/>
    <n v="0"/>
    <x v="0"/>
    <n v="2553.81"/>
    <x v="1"/>
    <s v="UPI"/>
    <n v="5107.62"/>
    <n v="8474.48"/>
    <n v="3366.8599999999997"/>
    <n v="0.39729399325976339"/>
    <x v="0"/>
    <s v="Apr"/>
    <n v="2024"/>
  </r>
  <r>
    <n v="100046"/>
    <x v="45"/>
    <x v="25"/>
    <s v="P0144"/>
    <x v="2"/>
    <n v="3"/>
    <n v="2844.81"/>
    <n v="5"/>
    <x v="0"/>
    <n v="1731.74"/>
    <x v="0"/>
    <s v="NetBanking"/>
    <n v="5195.22"/>
    <n v="8107.7084999999997"/>
    <n v="2912.4884999999995"/>
    <n v="0.35922461938536637"/>
    <x v="0"/>
    <s v="Sep"/>
    <n v="2023"/>
  </r>
  <r>
    <n v="100047"/>
    <x v="46"/>
    <x v="16"/>
    <s v="P0129"/>
    <x v="2"/>
    <n v="2"/>
    <n v="4916.1899999999996"/>
    <n v="15"/>
    <x v="1"/>
    <n v="2728.44"/>
    <x v="2"/>
    <s v="Digital"/>
    <n v="5456.88"/>
    <n v="8357.5229999999992"/>
    <n v="2900.6429999999991"/>
    <n v="0.34706969995775055"/>
    <x v="0"/>
    <s v="Jan"/>
    <n v="2023"/>
  </r>
  <r>
    <n v="100048"/>
    <x v="47"/>
    <x v="27"/>
    <s v="P0009"/>
    <x v="3"/>
    <n v="4"/>
    <n v="4837.47"/>
    <n v="0"/>
    <x v="0"/>
    <n v="2745.21"/>
    <x v="0"/>
    <s v="NetBanking"/>
    <n v="10980.84"/>
    <n v="19349.88"/>
    <n v="8369.0400000000009"/>
    <n v="0.43251120937184107"/>
    <x v="0"/>
    <s v="Jun"/>
    <n v="2023"/>
  </r>
  <r>
    <n v="100049"/>
    <x v="48"/>
    <x v="13"/>
    <s v="P0148"/>
    <x v="5"/>
    <n v="1"/>
    <n v="1941.29"/>
    <n v="15"/>
    <x v="1"/>
    <n v="1199.3"/>
    <x v="2"/>
    <s v="NetBanking"/>
    <n v="1199.3"/>
    <n v="1650.0964999999999"/>
    <n v="450.79649999999992"/>
    <n v="0.27319402228899942"/>
    <x v="0"/>
    <s v="May"/>
    <n v="2023"/>
  </r>
  <r>
    <n v="100050"/>
    <x v="49"/>
    <x v="24"/>
    <s v="P0075"/>
    <x v="1"/>
    <n v="4"/>
    <n v="2201.19"/>
    <n v="25"/>
    <x v="2"/>
    <n v="1466.72"/>
    <x v="0"/>
    <s v="Cash"/>
    <n v="5866.88"/>
    <n v="6603.57"/>
    <n v="736.6899999999996"/>
    <n v="0.11155935350121217"/>
    <x v="0"/>
    <s v="Sep"/>
    <n v="2024"/>
  </r>
  <r>
    <n v="100051"/>
    <x v="50"/>
    <x v="30"/>
    <s v="P0112"/>
    <x v="1"/>
    <n v="1"/>
    <n v="1059.6500000000001"/>
    <n v="5"/>
    <x v="0"/>
    <n v="709.51"/>
    <x v="2"/>
    <s v="UPI"/>
    <n v="709.51"/>
    <n v="1006.6675"/>
    <n v="297.15750000000003"/>
    <n v="0.29518932517439972"/>
    <x v="0"/>
    <s v="Sep"/>
    <n v="2023"/>
  </r>
  <r>
    <n v="100052"/>
    <x v="51"/>
    <x v="27"/>
    <s v="P0194"/>
    <x v="2"/>
    <n v="2"/>
    <n v="4718.63"/>
    <n v="5"/>
    <x v="0"/>
    <n v="3265.76"/>
    <x v="1"/>
    <s v="Digital"/>
    <n v="6531.52"/>
    <n v="8965.396999999999"/>
    <n v="2433.8769999999986"/>
    <n v="0.27147453704504093"/>
    <x v="0"/>
    <s v="Dec"/>
    <n v="2023"/>
  </r>
  <r>
    <n v="100053"/>
    <x v="52"/>
    <x v="1"/>
    <s v="P0068"/>
    <x v="1"/>
    <n v="2"/>
    <n v="2407.59"/>
    <n v="0"/>
    <x v="0"/>
    <n v="1681.31"/>
    <x v="1"/>
    <s v="UPI"/>
    <n v="3362.62"/>
    <n v="4815.18"/>
    <n v="1452.5600000000004"/>
    <n v="0.3016626585091316"/>
    <x v="1"/>
    <s v="Jun"/>
    <n v="2023"/>
  </r>
  <r>
    <n v="100054"/>
    <x v="53"/>
    <x v="27"/>
    <s v="P0128"/>
    <x v="3"/>
    <n v="1"/>
    <n v="2621.3000000000002"/>
    <n v="0"/>
    <x v="0"/>
    <n v="1189.1400000000001"/>
    <x v="1"/>
    <s v="NetBanking"/>
    <n v="1189.1400000000001"/>
    <n v="2621.3000000000002"/>
    <n v="1432.16"/>
    <n v="0.54635486209132877"/>
    <x v="1"/>
    <s v="May"/>
    <n v="2024"/>
  </r>
  <r>
    <n v="100055"/>
    <x v="20"/>
    <x v="30"/>
    <s v="P0176"/>
    <x v="0"/>
    <n v="4"/>
    <n v="4291.3500000000004"/>
    <n v="5"/>
    <x v="0"/>
    <n v="2563.15"/>
    <x v="2"/>
    <s v="Cash"/>
    <n v="10252.6"/>
    <n v="16307.130000000001"/>
    <n v="6054.5300000000007"/>
    <n v="0.37128115125101718"/>
    <x v="0"/>
    <s v="Feb"/>
    <n v="2023"/>
  </r>
  <r>
    <n v="100056"/>
    <x v="4"/>
    <x v="6"/>
    <s v="P0158"/>
    <x v="3"/>
    <n v="4"/>
    <n v="2691.43"/>
    <n v="5"/>
    <x v="0"/>
    <n v="1590.37"/>
    <x v="1"/>
    <s v="Card"/>
    <n v="6361.48"/>
    <n v="10227.433999999999"/>
    <n v="3865.9539999999997"/>
    <n v="0.37799843049586046"/>
    <x v="1"/>
    <s v="Jan"/>
    <n v="2023"/>
  </r>
  <r>
    <n v="100057"/>
    <x v="54"/>
    <x v="31"/>
    <s v="P0027"/>
    <x v="1"/>
    <n v="2"/>
    <n v="4900.8"/>
    <n v="30"/>
    <x v="2"/>
    <n v="2675.95"/>
    <x v="1"/>
    <s v="NetBanking"/>
    <n v="5351.9"/>
    <n v="6861.12"/>
    <n v="1509.2200000000003"/>
    <n v="0.21996700247189968"/>
    <x v="0"/>
    <s v="Oct"/>
    <n v="2023"/>
  </r>
  <r>
    <n v="100058"/>
    <x v="55"/>
    <x v="14"/>
    <s v="P0197"/>
    <x v="1"/>
    <n v="2"/>
    <n v="1945.37"/>
    <n v="0"/>
    <x v="0"/>
    <n v="1154.6400000000001"/>
    <x v="1"/>
    <s v="NetBanking"/>
    <n v="2309.2800000000002"/>
    <n v="3890.74"/>
    <n v="1581.4599999999996"/>
    <n v="0.40646766424896025"/>
    <x v="0"/>
    <s v="Apr"/>
    <n v="2024"/>
  </r>
  <r>
    <n v="100059"/>
    <x v="56"/>
    <x v="32"/>
    <s v="P0192"/>
    <x v="4"/>
    <n v="4"/>
    <n v="3695.52"/>
    <n v="20"/>
    <x v="1"/>
    <n v="1789.49"/>
    <x v="0"/>
    <s v="Digital"/>
    <n v="7157.96"/>
    <n v="11825.664000000001"/>
    <n v="4667.7040000000006"/>
    <n v="0.39470967549898256"/>
    <x v="1"/>
    <s v="Jun"/>
    <n v="2024"/>
  </r>
  <r>
    <n v="100060"/>
    <x v="57"/>
    <x v="26"/>
    <s v="P0046"/>
    <x v="2"/>
    <n v="1"/>
    <n v="504.94"/>
    <n v="0"/>
    <x v="0"/>
    <n v="352.63"/>
    <x v="0"/>
    <s v="Card"/>
    <n v="352.63"/>
    <n v="504.94"/>
    <n v="152.31"/>
    <n v="0.30163979878797481"/>
    <x v="0"/>
    <s v="Jun"/>
    <n v="2023"/>
  </r>
  <r>
    <n v="100061"/>
    <x v="58"/>
    <x v="2"/>
    <s v="P0024"/>
    <x v="0"/>
    <n v="1"/>
    <n v="4452.42"/>
    <n v="0"/>
    <x v="0"/>
    <n v="2779.72"/>
    <x v="2"/>
    <s v="Cash"/>
    <n v="2779.72"/>
    <n v="4452.42"/>
    <n v="1672.7000000000003"/>
    <n v="0.37568333625309386"/>
    <x v="0"/>
    <s v="Feb"/>
    <n v="2023"/>
  </r>
  <r>
    <n v="100062"/>
    <x v="21"/>
    <x v="30"/>
    <s v="P0188"/>
    <x v="5"/>
    <n v="1"/>
    <n v="2312.4699999999998"/>
    <n v="25"/>
    <x v="2"/>
    <n v="1595.6"/>
    <x v="2"/>
    <s v="NetBanking"/>
    <n v="1595.6"/>
    <n v="1734.3525"/>
    <n v="138.75250000000005"/>
    <n v="8.0002479311443359E-2"/>
    <x v="1"/>
    <s v="Apr"/>
    <n v="2023"/>
  </r>
  <r>
    <n v="100063"/>
    <x v="52"/>
    <x v="30"/>
    <s v="P0067"/>
    <x v="6"/>
    <n v="1"/>
    <n v="654.13"/>
    <n v="10"/>
    <x v="0"/>
    <n v="321.64"/>
    <x v="1"/>
    <s v="Card"/>
    <n v="321.64"/>
    <n v="588.71699999999998"/>
    <n v="267.077"/>
    <n v="0.45365939831871682"/>
    <x v="1"/>
    <s v="Jun"/>
    <n v="2023"/>
  </r>
  <r>
    <n v="100064"/>
    <x v="59"/>
    <x v="9"/>
    <s v="P0058"/>
    <x v="5"/>
    <n v="4"/>
    <n v="2051.63"/>
    <n v="5"/>
    <x v="0"/>
    <n v="1063.58"/>
    <x v="2"/>
    <s v="Card"/>
    <n v="4254.32"/>
    <n v="7796.1940000000004"/>
    <n v="3541.8740000000007"/>
    <n v="0.45430808930614097"/>
    <x v="0"/>
    <s v="Jul"/>
    <n v="2024"/>
  </r>
  <r>
    <n v="100065"/>
    <x v="60"/>
    <x v="33"/>
    <s v="P0175"/>
    <x v="6"/>
    <n v="3"/>
    <n v="2979.29"/>
    <n v="30"/>
    <x v="2"/>
    <n v="1278.57"/>
    <x v="1"/>
    <s v="Digital"/>
    <n v="3835.71"/>
    <n v="6256.5089999999991"/>
    <n v="2420.7989999999991"/>
    <n v="0.3869248809519813"/>
    <x v="1"/>
    <s v="Oct"/>
    <n v="2023"/>
  </r>
  <r>
    <n v="100066"/>
    <x v="19"/>
    <x v="34"/>
    <s v="P0130"/>
    <x v="5"/>
    <n v="2"/>
    <n v="1985.64"/>
    <n v="0"/>
    <x v="0"/>
    <n v="945.66"/>
    <x v="0"/>
    <s v="Digital"/>
    <n v="1891.32"/>
    <n v="3971.28"/>
    <n v="2079.96"/>
    <n v="0.52375052879676076"/>
    <x v="1"/>
    <s v="May"/>
    <n v="2024"/>
  </r>
  <r>
    <n v="100067"/>
    <x v="61"/>
    <x v="35"/>
    <s v="P0176"/>
    <x v="2"/>
    <n v="2"/>
    <n v="3781.61"/>
    <n v="25"/>
    <x v="2"/>
    <n v="2303.4"/>
    <x v="2"/>
    <s v="UPI"/>
    <n v="4606.8"/>
    <n v="5672.415"/>
    <n v="1065.6149999999998"/>
    <n v="0.18785913936127729"/>
    <x v="1"/>
    <s v="Sep"/>
    <n v="2023"/>
  </r>
  <r>
    <n v="100068"/>
    <x v="62"/>
    <x v="35"/>
    <s v="P0013"/>
    <x v="1"/>
    <n v="3"/>
    <n v="1679.88"/>
    <n v="15"/>
    <x v="1"/>
    <n v="1079.8399999999999"/>
    <x v="1"/>
    <s v="UPI"/>
    <n v="3239.5199999999995"/>
    <n v="4283.6940000000004"/>
    <n v="1044.1740000000009"/>
    <n v="0.24375550634569154"/>
    <x v="0"/>
    <s v="Feb"/>
    <n v="2024"/>
  </r>
  <r>
    <n v="100069"/>
    <x v="63"/>
    <x v="18"/>
    <s v="P0020"/>
    <x v="3"/>
    <n v="4"/>
    <n v="2703.31"/>
    <n v="0"/>
    <x v="0"/>
    <n v="1488.05"/>
    <x v="1"/>
    <s v="Cash"/>
    <n v="5952.2"/>
    <n v="10813.24"/>
    <n v="4861.04"/>
    <n v="0.44954518719643699"/>
    <x v="0"/>
    <s v="Nov"/>
    <n v="2024"/>
  </r>
  <r>
    <n v="100070"/>
    <x v="64"/>
    <x v="34"/>
    <s v="P0115"/>
    <x v="6"/>
    <n v="1"/>
    <n v="633.41999999999996"/>
    <n v="0"/>
    <x v="0"/>
    <n v="328.77"/>
    <x v="1"/>
    <s v="Cash"/>
    <n v="328.77"/>
    <n v="633.41999999999996"/>
    <n v="304.64999999999998"/>
    <n v="0.4809605001420858"/>
    <x v="0"/>
    <s v="Oct"/>
    <n v="2024"/>
  </r>
  <r>
    <n v="100071"/>
    <x v="65"/>
    <x v="25"/>
    <s v="P0191"/>
    <x v="4"/>
    <n v="3"/>
    <n v="429.8"/>
    <n v="15"/>
    <x v="1"/>
    <n v="246.56"/>
    <x v="1"/>
    <s v="UPI"/>
    <n v="739.68000000000006"/>
    <n v="1095.99"/>
    <n v="356.30999999999995"/>
    <n v="0.32510333123477397"/>
    <x v="0"/>
    <s v="Dec"/>
    <n v="2024"/>
  </r>
  <r>
    <n v="100072"/>
    <x v="29"/>
    <x v="27"/>
    <s v="P0125"/>
    <x v="4"/>
    <n v="2"/>
    <n v="1842.32"/>
    <n v="5"/>
    <x v="0"/>
    <n v="822.62"/>
    <x v="0"/>
    <s v="Card"/>
    <n v="1645.24"/>
    <n v="3500.4079999999999"/>
    <n v="1855.1679999999999"/>
    <n v="0.52998621874935725"/>
    <x v="1"/>
    <s v="Jul"/>
    <n v="2023"/>
  </r>
  <r>
    <n v="100073"/>
    <x v="66"/>
    <x v="16"/>
    <s v="P0170"/>
    <x v="0"/>
    <n v="2"/>
    <n v="3076.92"/>
    <n v="0"/>
    <x v="0"/>
    <n v="1258.92"/>
    <x v="0"/>
    <s v="Digital"/>
    <n v="2517.84"/>
    <n v="6153.84"/>
    <n v="3636"/>
    <n v="0.59085059085059088"/>
    <x v="0"/>
    <s v="Nov"/>
    <n v="2024"/>
  </r>
  <r>
    <n v="100074"/>
    <x v="22"/>
    <x v="12"/>
    <s v="P0008"/>
    <x v="3"/>
    <n v="2"/>
    <n v="1725.35"/>
    <n v="0"/>
    <x v="0"/>
    <n v="968.14"/>
    <x v="2"/>
    <s v="UPI"/>
    <n v="1936.28"/>
    <n v="3450.7"/>
    <n v="1514.4199999999998"/>
    <n v="0.43887327208972088"/>
    <x v="0"/>
    <s v="Sep"/>
    <n v="2024"/>
  </r>
  <r>
    <n v="100075"/>
    <x v="67"/>
    <x v="1"/>
    <s v="P0196"/>
    <x v="4"/>
    <n v="1"/>
    <n v="1576.25"/>
    <n v="5"/>
    <x v="0"/>
    <n v="1086.94"/>
    <x v="1"/>
    <s v="Cash"/>
    <n v="1086.94"/>
    <n v="1497.4375"/>
    <n v="410.49749999999995"/>
    <n v="0.27413331107308314"/>
    <x v="0"/>
    <s v="Apr"/>
    <n v="2023"/>
  </r>
  <r>
    <n v="100076"/>
    <x v="68"/>
    <x v="7"/>
    <s v="P0099"/>
    <x v="4"/>
    <n v="2"/>
    <n v="542.9"/>
    <n v="10"/>
    <x v="0"/>
    <n v="303.7"/>
    <x v="2"/>
    <s v="Card"/>
    <n v="607.4"/>
    <n v="977.22"/>
    <n v="369.82000000000005"/>
    <n v="0.37844088332207693"/>
    <x v="0"/>
    <s v="Feb"/>
    <n v="2023"/>
  </r>
  <r>
    <n v="100077"/>
    <x v="69"/>
    <x v="3"/>
    <s v="P0124"/>
    <x v="0"/>
    <n v="3"/>
    <n v="950.26"/>
    <n v="25"/>
    <x v="2"/>
    <n v="417.95"/>
    <x v="2"/>
    <s v="UPI"/>
    <n v="1253.8499999999999"/>
    <n v="2138.085"/>
    <n v="884.23500000000013"/>
    <n v="0.41356400704368634"/>
    <x v="0"/>
    <s v="Jan"/>
    <n v="2024"/>
  </r>
  <r>
    <n v="100078"/>
    <x v="70"/>
    <x v="35"/>
    <s v="P0058"/>
    <x v="3"/>
    <n v="2"/>
    <n v="1817.9"/>
    <n v="0"/>
    <x v="0"/>
    <n v="1160.83"/>
    <x v="1"/>
    <s v="Cash"/>
    <n v="2321.66"/>
    <n v="3635.8"/>
    <n v="1314.1400000000003"/>
    <n v="0.36144452390120474"/>
    <x v="0"/>
    <s v="Aug"/>
    <n v="2024"/>
  </r>
  <r>
    <n v="100079"/>
    <x v="71"/>
    <x v="7"/>
    <s v="P0137"/>
    <x v="5"/>
    <n v="3"/>
    <n v="1479.04"/>
    <n v="30"/>
    <x v="2"/>
    <n v="673.41"/>
    <x v="1"/>
    <s v="UPI"/>
    <n v="2020.23"/>
    <n v="3105.9839999999999"/>
    <n v="1085.7539999999999"/>
    <n v="0.34956844594176917"/>
    <x v="1"/>
    <s v="May"/>
    <n v="2023"/>
  </r>
  <r>
    <n v="100080"/>
    <x v="72"/>
    <x v="22"/>
    <s v="P0034"/>
    <x v="4"/>
    <n v="4"/>
    <n v="2222.08"/>
    <n v="10"/>
    <x v="0"/>
    <n v="1004.35"/>
    <x v="1"/>
    <s v="NetBanking"/>
    <n v="4017.4"/>
    <n v="7999.4880000000003"/>
    <n v="3982.0880000000002"/>
    <n v="0.49779285874295953"/>
    <x v="0"/>
    <s v="May"/>
    <n v="2024"/>
  </r>
  <r>
    <n v="100081"/>
    <x v="73"/>
    <x v="4"/>
    <s v="P0117"/>
    <x v="5"/>
    <n v="4"/>
    <n v="2881.37"/>
    <n v="30"/>
    <x v="2"/>
    <n v="1770.25"/>
    <x v="1"/>
    <s v="Cash"/>
    <n v="7081"/>
    <n v="8067.8359999999993"/>
    <n v="986.83599999999933"/>
    <n v="0.12231731036674511"/>
    <x v="0"/>
    <s v="May"/>
    <n v="2024"/>
  </r>
  <r>
    <n v="100082"/>
    <x v="74"/>
    <x v="16"/>
    <s v="P0069"/>
    <x v="5"/>
    <n v="1"/>
    <n v="4787.87"/>
    <n v="10"/>
    <x v="0"/>
    <n v="2975.03"/>
    <x v="0"/>
    <s v="Digital"/>
    <n v="2975.03"/>
    <n v="4309.0829999999996"/>
    <n v="1334.0529999999994"/>
    <n v="0.3095909268863003"/>
    <x v="0"/>
    <s v="Mar"/>
    <n v="2024"/>
  </r>
  <r>
    <n v="100083"/>
    <x v="75"/>
    <x v="24"/>
    <s v="P0144"/>
    <x v="2"/>
    <n v="2"/>
    <n v="3731.18"/>
    <n v="10"/>
    <x v="0"/>
    <n v="1545.88"/>
    <x v="1"/>
    <s v="UPI"/>
    <n v="3091.76"/>
    <n v="6716.1239999999998"/>
    <n v="3624.3639999999996"/>
    <n v="0.53965114402295133"/>
    <x v="1"/>
    <s v="Jun"/>
    <n v="2023"/>
  </r>
  <r>
    <n v="100084"/>
    <x v="76"/>
    <x v="36"/>
    <s v="P0069"/>
    <x v="4"/>
    <n v="3"/>
    <n v="3861.88"/>
    <n v="25"/>
    <x v="2"/>
    <n v="1561.43"/>
    <x v="1"/>
    <s v="Card"/>
    <n v="4684.29"/>
    <n v="8689.23"/>
    <n v="4004.9399999999996"/>
    <n v="0.46090850397561117"/>
    <x v="0"/>
    <s v="Aug"/>
    <n v="2023"/>
  </r>
  <r>
    <n v="100085"/>
    <x v="77"/>
    <x v="37"/>
    <s v="P0144"/>
    <x v="3"/>
    <n v="3"/>
    <n v="491.43"/>
    <n v="5"/>
    <x v="0"/>
    <n v="322.69"/>
    <x v="2"/>
    <s v="NetBanking"/>
    <n v="968.06999999999994"/>
    <n v="1400.5754999999999"/>
    <n v="432.50549999999998"/>
    <n v="0.30880555885776956"/>
    <x v="0"/>
    <s v="Mar"/>
    <n v="2024"/>
  </r>
  <r>
    <n v="100086"/>
    <x v="78"/>
    <x v="27"/>
    <s v="P0033"/>
    <x v="3"/>
    <n v="2"/>
    <n v="3887.81"/>
    <n v="10"/>
    <x v="0"/>
    <n v="2496.2600000000002"/>
    <x v="1"/>
    <s v="Card"/>
    <n v="4992.5200000000004"/>
    <n v="6998.058"/>
    <n v="2005.5379999999996"/>
    <n v="0.28658493542065522"/>
    <x v="0"/>
    <s v="Sep"/>
    <n v="2024"/>
  </r>
  <r>
    <n v="100087"/>
    <x v="79"/>
    <x v="0"/>
    <s v="P0069"/>
    <x v="2"/>
    <n v="2"/>
    <n v="2339.1"/>
    <n v="30"/>
    <x v="2"/>
    <n v="1215.28"/>
    <x v="2"/>
    <s v="UPI"/>
    <n v="2430.56"/>
    <n v="3274.74"/>
    <n v="844.17999999999984"/>
    <n v="0.25778535089808652"/>
    <x v="0"/>
    <s v="Jun"/>
    <n v="2024"/>
  </r>
  <r>
    <n v="100088"/>
    <x v="80"/>
    <x v="12"/>
    <s v="P0186"/>
    <x v="3"/>
    <n v="4"/>
    <n v="512.92999999999995"/>
    <n v="30"/>
    <x v="2"/>
    <n v="262.82"/>
    <x v="2"/>
    <s v="Card"/>
    <n v="1051.28"/>
    <n v="1436.2039999999997"/>
    <n v="384.92399999999975"/>
    <n v="0.26801485025804123"/>
    <x v="1"/>
    <s v="Oct"/>
    <n v="2024"/>
  </r>
  <r>
    <n v="100089"/>
    <x v="81"/>
    <x v="14"/>
    <s v="P0016"/>
    <x v="3"/>
    <n v="4"/>
    <n v="4325.5"/>
    <n v="20"/>
    <x v="1"/>
    <n v="2584.9499999999998"/>
    <x v="2"/>
    <s v="Cash"/>
    <n v="10339.799999999999"/>
    <n v="13841.6"/>
    <n v="3501.8000000000011"/>
    <n v="0.25299098370130629"/>
    <x v="0"/>
    <s v="May"/>
    <n v="2024"/>
  </r>
  <r>
    <n v="100090"/>
    <x v="47"/>
    <x v="36"/>
    <s v="P0084"/>
    <x v="3"/>
    <n v="4"/>
    <n v="4736.29"/>
    <n v="30"/>
    <x v="2"/>
    <n v="3236.19"/>
    <x v="0"/>
    <s v="Card"/>
    <n v="12944.76"/>
    <n v="13261.611999999999"/>
    <n v="316.85199999999895"/>
    <n v="2.3892419714888279E-2"/>
    <x v="0"/>
    <s v="Jun"/>
    <n v="2023"/>
  </r>
  <r>
    <n v="100091"/>
    <x v="82"/>
    <x v="32"/>
    <s v="P0161"/>
    <x v="4"/>
    <n v="4"/>
    <n v="3482.69"/>
    <n v="15"/>
    <x v="1"/>
    <n v="1992.13"/>
    <x v="0"/>
    <s v="Card"/>
    <n v="7968.52"/>
    <n v="11841.146000000001"/>
    <n v="3872.6260000000002"/>
    <n v="0.3270482434723801"/>
    <x v="0"/>
    <s v="Jun"/>
    <n v="2024"/>
  </r>
  <r>
    <n v="100092"/>
    <x v="83"/>
    <x v="0"/>
    <s v="P0161"/>
    <x v="0"/>
    <n v="1"/>
    <n v="2864.4"/>
    <n v="15"/>
    <x v="1"/>
    <n v="1954.78"/>
    <x v="1"/>
    <s v="NetBanking"/>
    <n v="1954.78"/>
    <n v="2434.7400000000002"/>
    <n v="479.96000000000026"/>
    <n v="0.19712987834429968"/>
    <x v="0"/>
    <s v="Jul"/>
    <n v="2024"/>
  </r>
  <r>
    <n v="100093"/>
    <x v="84"/>
    <x v="7"/>
    <s v="P0012"/>
    <x v="3"/>
    <n v="4"/>
    <n v="4555.1499999999996"/>
    <n v="25"/>
    <x v="2"/>
    <n v="2089.62"/>
    <x v="1"/>
    <s v="UPI"/>
    <n v="8358.48"/>
    <n v="13665.449999999999"/>
    <n v="5306.9699999999993"/>
    <n v="0.38834945062182363"/>
    <x v="0"/>
    <s v="Feb"/>
    <n v="2024"/>
  </r>
  <r>
    <n v="100094"/>
    <x v="85"/>
    <x v="38"/>
    <s v="P0081"/>
    <x v="6"/>
    <n v="3"/>
    <n v="2073.12"/>
    <n v="25"/>
    <x v="2"/>
    <n v="853.48"/>
    <x v="0"/>
    <s v="Digital"/>
    <n v="2560.44"/>
    <n v="4664.5199999999995"/>
    <n v="2104.0799999999995"/>
    <n v="0.45108178333461957"/>
    <x v="1"/>
    <s v="Feb"/>
    <n v="2023"/>
  </r>
  <r>
    <n v="100095"/>
    <x v="86"/>
    <x v="0"/>
    <s v="P0162"/>
    <x v="5"/>
    <n v="2"/>
    <n v="1799.19"/>
    <n v="25"/>
    <x v="2"/>
    <n v="1175.7"/>
    <x v="0"/>
    <s v="Card"/>
    <n v="2351.4"/>
    <n v="2698.7849999999999"/>
    <n v="347.38499999999976"/>
    <n v="0.12871903467671555"/>
    <x v="1"/>
    <s v="Aug"/>
    <n v="2024"/>
  </r>
  <r>
    <n v="100096"/>
    <x v="87"/>
    <x v="36"/>
    <s v="P0114"/>
    <x v="5"/>
    <n v="3"/>
    <n v="1624.72"/>
    <n v="20"/>
    <x v="1"/>
    <n v="707.48"/>
    <x v="2"/>
    <s v="NetBanking"/>
    <n v="2122.44"/>
    <n v="3899.328"/>
    <n v="1776.8879999999999"/>
    <n v="0.45569082672706679"/>
    <x v="0"/>
    <s v="May"/>
    <n v="2024"/>
  </r>
  <r>
    <n v="100097"/>
    <x v="88"/>
    <x v="39"/>
    <s v="P0021"/>
    <x v="3"/>
    <n v="1"/>
    <n v="4702.25"/>
    <n v="25"/>
    <x v="2"/>
    <n v="1936.18"/>
    <x v="0"/>
    <s v="NetBanking"/>
    <n v="1936.18"/>
    <n v="3526.6875"/>
    <n v="1590.5074999999999"/>
    <n v="0.45099190104028214"/>
    <x v="1"/>
    <s v="Dec"/>
    <n v="2024"/>
  </r>
  <r>
    <n v="100098"/>
    <x v="89"/>
    <x v="10"/>
    <s v="P0152"/>
    <x v="6"/>
    <n v="1"/>
    <n v="1625.56"/>
    <n v="5"/>
    <x v="0"/>
    <n v="736.76"/>
    <x v="1"/>
    <s v="UPI"/>
    <n v="736.76"/>
    <n v="1544.2819999999999"/>
    <n v="807.52199999999993"/>
    <n v="0.52291097092370431"/>
    <x v="0"/>
    <s v="Apr"/>
    <n v="2024"/>
  </r>
  <r>
    <n v="100099"/>
    <x v="90"/>
    <x v="40"/>
    <s v="P0096"/>
    <x v="1"/>
    <n v="4"/>
    <n v="3006.85"/>
    <n v="0"/>
    <x v="0"/>
    <n v="1862.73"/>
    <x v="1"/>
    <s v="Digital"/>
    <n v="7450.92"/>
    <n v="12027.4"/>
    <n v="4576.4799999999996"/>
    <n v="0.38050451469145447"/>
    <x v="0"/>
    <s v="Jul"/>
    <n v="2024"/>
  </r>
  <r>
    <n v="100100"/>
    <x v="91"/>
    <x v="21"/>
    <s v="P0183"/>
    <x v="1"/>
    <n v="4"/>
    <n v="4375.45"/>
    <n v="15"/>
    <x v="1"/>
    <n v="2487.71"/>
    <x v="1"/>
    <s v="UPI"/>
    <n v="9950.84"/>
    <n v="14876.529999999999"/>
    <n v="4925.6899999999987"/>
    <n v="0.3311047670390877"/>
    <x v="0"/>
    <s v="Jan"/>
    <n v="2024"/>
  </r>
  <r>
    <n v="100101"/>
    <x v="92"/>
    <x v="12"/>
    <s v="P0113"/>
    <x v="3"/>
    <n v="1"/>
    <n v="3777.57"/>
    <n v="25"/>
    <x v="2"/>
    <n v="1781.01"/>
    <x v="1"/>
    <s v="UPI"/>
    <n v="1781.01"/>
    <n v="2833.1775000000002"/>
    <n v="1052.1675000000002"/>
    <n v="0.37137366084546419"/>
    <x v="1"/>
    <s v="Sep"/>
    <n v="2023"/>
  </r>
  <r>
    <n v="100102"/>
    <x v="84"/>
    <x v="12"/>
    <s v="P0187"/>
    <x v="1"/>
    <n v="2"/>
    <n v="2633.84"/>
    <n v="20"/>
    <x v="1"/>
    <n v="1361.39"/>
    <x v="0"/>
    <s v="NetBanking"/>
    <n v="2722.78"/>
    <n v="4214.1440000000002"/>
    <n v="1491.364"/>
    <n v="0.35389488351608295"/>
    <x v="0"/>
    <s v="Feb"/>
    <n v="2024"/>
  </r>
  <r>
    <n v="100103"/>
    <x v="93"/>
    <x v="4"/>
    <s v="P0147"/>
    <x v="2"/>
    <n v="3"/>
    <n v="2129.25"/>
    <n v="20"/>
    <x v="1"/>
    <n v="858.62"/>
    <x v="1"/>
    <s v="NetBanking"/>
    <n v="2575.86"/>
    <n v="5110.2000000000007"/>
    <n v="2534.3400000000006"/>
    <n v="0.49593753669132329"/>
    <x v="0"/>
    <s v="Aug"/>
    <n v="2023"/>
  </r>
  <r>
    <n v="100104"/>
    <x v="94"/>
    <x v="17"/>
    <s v="P0052"/>
    <x v="0"/>
    <n v="4"/>
    <n v="1968.05"/>
    <n v="30"/>
    <x v="2"/>
    <n v="1352.13"/>
    <x v="1"/>
    <s v="Digital"/>
    <n v="5408.52"/>
    <n v="5510.54"/>
    <n v="102.01999999999953"/>
    <n v="1.851361209609213E-2"/>
    <x v="0"/>
    <s v="Jan"/>
    <n v="2024"/>
  </r>
  <r>
    <n v="100105"/>
    <x v="95"/>
    <x v="19"/>
    <s v="P0099"/>
    <x v="6"/>
    <n v="3"/>
    <n v="2617.2199999999998"/>
    <n v="20"/>
    <x v="1"/>
    <n v="1112.28"/>
    <x v="1"/>
    <s v="UPI"/>
    <n v="3336.84"/>
    <n v="6281.3280000000004"/>
    <n v="2944.4880000000003"/>
    <n v="0.46876838783136304"/>
    <x v="0"/>
    <s v="Mar"/>
    <n v="2023"/>
  </r>
  <r>
    <n v="100106"/>
    <x v="96"/>
    <x v="3"/>
    <s v="P0053"/>
    <x v="1"/>
    <n v="4"/>
    <n v="1844.72"/>
    <n v="20"/>
    <x v="1"/>
    <n v="1110.07"/>
    <x v="2"/>
    <s v="Digital"/>
    <n v="4440.28"/>
    <n v="5903.1040000000003"/>
    <n v="1462.8240000000005"/>
    <n v="0.24780590008239742"/>
    <x v="1"/>
    <s v="Apr"/>
    <n v="2024"/>
  </r>
  <r>
    <n v="100107"/>
    <x v="97"/>
    <x v="32"/>
    <s v="P0042"/>
    <x v="1"/>
    <n v="3"/>
    <n v="3972.09"/>
    <n v="25"/>
    <x v="2"/>
    <n v="1724.04"/>
    <x v="0"/>
    <s v="Card"/>
    <n v="5172.12"/>
    <n v="8937.2024999999994"/>
    <n v="3765.0824999999995"/>
    <n v="0.42128199512095643"/>
    <x v="1"/>
    <s v="Nov"/>
    <n v="2024"/>
  </r>
  <r>
    <n v="100108"/>
    <x v="98"/>
    <x v="20"/>
    <s v="P0163"/>
    <x v="2"/>
    <n v="2"/>
    <n v="570.53"/>
    <n v="0"/>
    <x v="0"/>
    <n v="322.27"/>
    <x v="2"/>
    <s v="Cash"/>
    <n v="644.54"/>
    <n v="1141.06"/>
    <n v="496.52"/>
    <n v="0.43513925648081608"/>
    <x v="1"/>
    <s v="May"/>
    <n v="2023"/>
  </r>
  <r>
    <n v="100109"/>
    <x v="99"/>
    <x v="25"/>
    <s v="P0009"/>
    <x v="0"/>
    <n v="3"/>
    <n v="2865.8"/>
    <n v="20"/>
    <x v="1"/>
    <n v="1753.15"/>
    <x v="2"/>
    <s v="Digital"/>
    <n v="5259.4500000000007"/>
    <n v="6877.9200000000019"/>
    <n v="1618.4700000000012"/>
    <n v="0.23531387396189557"/>
    <x v="1"/>
    <s v="Aug"/>
    <n v="2024"/>
  </r>
  <r>
    <n v="100110"/>
    <x v="100"/>
    <x v="8"/>
    <s v="P0007"/>
    <x v="3"/>
    <n v="2"/>
    <n v="4233.7299999999996"/>
    <n v="25"/>
    <x v="2"/>
    <n v="2794.52"/>
    <x v="1"/>
    <s v="UPI"/>
    <n v="5589.04"/>
    <n v="6350.5949999999993"/>
    <n v="761.55499999999938"/>
    <n v="0.11991868478465395"/>
    <x v="0"/>
    <s v="Aug"/>
    <n v="2023"/>
  </r>
  <r>
    <n v="100111"/>
    <x v="101"/>
    <x v="41"/>
    <s v="P0194"/>
    <x v="2"/>
    <n v="2"/>
    <n v="3594.55"/>
    <n v="15"/>
    <x v="1"/>
    <n v="1516.29"/>
    <x v="1"/>
    <s v="Cash"/>
    <n v="3032.58"/>
    <n v="6110.7350000000006"/>
    <n v="3078.1550000000007"/>
    <n v="0.5037290931450964"/>
    <x v="0"/>
    <s v="Sep"/>
    <n v="2024"/>
  </r>
  <r>
    <n v="100112"/>
    <x v="102"/>
    <x v="42"/>
    <s v="P0109"/>
    <x v="6"/>
    <n v="1"/>
    <n v="2712.63"/>
    <n v="15"/>
    <x v="1"/>
    <n v="1274.8499999999999"/>
    <x v="1"/>
    <s v="NetBanking"/>
    <n v="1274.8499999999999"/>
    <n v="2305.7355000000002"/>
    <n v="1030.8855000000003"/>
    <n v="0.44709616519327572"/>
    <x v="0"/>
    <s v="Oct"/>
    <n v="2024"/>
  </r>
  <r>
    <n v="100113"/>
    <x v="103"/>
    <x v="22"/>
    <s v="P0045"/>
    <x v="6"/>
    <n v="1"/>
    <n v="4437.6899999999996"/>
    <n v="30"/>
    <x v="2"/>
    <n v="2090.1799999999998"/>
    <x v="1"/>
    <s v="NetBanking"/>
    <n v="2090.1799999999998"/>
    <n v="3106.3829999999994"/>
    <n v="1016.2029999999995"/>
    <n v="0.32713384022511061"/>
    <x v="0"/>
    <s v="Nov"/>
    <n v="2023"/>
  </r>
  <r>
    <n v="100114"/>
    <x v="104"/>
    <x v="19"/>
    <s v="P0108"/>
    <x v="2"/>
    <n v="4"/>
    <n v="1946.03"/>
    <n v="0"/>
    <x v="0"/>
    <n v="1191.8499999999999"/>
    <x v="1"/>
    <s v="Cash"/>
    <n v="4767.3999999999996"/>
    <n v="7784.12"/>
    <n v="3016.7200000000003"/>
    <n v="0.38754798230243115"/>
    <x v="0"/>
    <s v="Mar"/>
    <n v="2024"/>
  </r>
  <r>
    <n v="100115"/>
    <x v="105"/>
    <x v="23"/>
    <s v="P0039"/>
    <x v="1"/>
    <n v="2"/>
    <n v="3613.9"/>
    <n v="5"/>
    <x v="0"/>
    <n v="1715.22"/>
    <x v="1"/>
    <s v="Card"/>
    <n v="3430.44"/>
    <n v="6866.41"/>
    <n v="3435.97"/>
    <n v="0.50040268495472884"/>
    <x v="0"/>
    <s v="Jun"/>
    <n v="2024"/>
  </r>
  <r>
    <n v="100116"/>
    <x v="76"/>
    <x v="30"/>
    <s v="P0126"/>
    <x v="6"/>
    <n v="2"/>
    <n v="2615.34"/>
    <n v="0"/>
    <x v="0"/>
    <n v="1055.04"/>
    <x v="1"/>
    <s v="Cash"/>
    <n v="2110.08"/>
    <n v="5230.68"/>
    <n v="3120.6000000000004"/>
    <n v="0.59659547133451107"/>
    <x v="0"/>
    <s v="Aug"/>
    <n v="2023"/>
  </r>
  <r>
    <n v="100117"/>
    <x v="106"/>
    <x v="1"/>
    <s v="P0167"/>
    <x v="3"/>
    <n v="2"/>
    <n v="3782.58"/>
    <n v="0"/>
    <x v="0"/>
    <n v="2383.62"/>
    <x v="0"/>
    <s v="Digital"/>
    <n v="4767.24"/>
    <n v="7565.16"/>
    <n v="2797.92"/>
    <n v="0.36984280570404326"/>
    <x v="0"/>
    <s v="Dec"/>
    <n v="2023"/>
  </r>
  <r>
    <n v="100118"/>
    <x v="107"/>
    <x v="6"/>
    <s v="P0191"/>
    <x v="1"/>
    <n v="1"/>
    <n v="3500.89"/>
    <n v="25"/>
    <x v="2"/>
    <n v="1649.8"/>
    <x v="2"/>
    <s v="Digital"/>
    <n v="1649.8"/>
    <n v="2625.6675"/>
    <n v="975.86750000000006"/>
    <n v="0.37166453863636584"/>
    <x v="1"/>
    <s v="May"/>
    <n v="2024"/>
  </r>
  <r>
    <n v="100119"/>
    <x v="108"/>
    <x v="4"/>
    <s v="P0134"/>
    <x v="1"/>
    <n v="4"/>
    <n v="1642.85"/>
    <n v="30"/>
    <x v="2"/>
    <n v="1085.23"/>
    <x v="1"/>
    <s v="NetBanking"/>
    <n v="4340.92"/>
    <n v="4599.9799999999996"/>
    <n v="259.05999999999949"/>
    <n v="5.6317636163635387E-2"/>
    <x v="0"/>
    <s v="Apr"/>
    <n v="2023"/>
  </r>
  <r>
    <n v="100120"/>
    <x v="109"/>
    <x v="35"/>
    <s v="P0080"/>
    <x v="3"/>
    <n v="2"/>
    <n v="357.13"/>
    <n v="0"/>
    <x v="0"/>
    <n v="246.76"/>
    <x v="1"/>
    <s v="UPI"/>
    <n v="493.52"/>
    <n v="714.26"/>
    <n v="220.74"/>
    <n v="0.30904712569652509"/>
    <x v="0"/>
    <s v="May"/>
    <n v="2023"/>
  </r>
  <r>
    <n v="100121"/>
    <x v="110"/>
    <x v="22"/>
    <s v="P0147"/>
    <x v="2"/>
    <n v="2"/>
    <n v="4645.82"/>
    <n v="0"/>
    <x v="0"/>
    <n v="3139.34"/>
    <x v="0"/>
    <s v="NetBanking"/>
    <n v="6278.68"/>
    <n v="9291.64"/>
    <n v="3012.9599999999991"/>
    <n v="0.32426568399120059"/>
    <x v="0"/>
    <s v="Nov"/>
    <n v="2024"/>
  </r>
  <r>
    <n v="100122"/>
    <x v="111"/>
    <x v="40"/>
    <s v="P0014"/>
    <x v="4"/>
    <n v="4"/>
    <n v="654.54"/>
    <n v="5"/>
    <x v="0"/>
    <n v="294.45"/>
    <x v="1"/>
    <s v="UPI"/>
    <n v="1177.8"/>
    <n v="2487.252"/>
    <n v="1309.452"/>
    <n v="0.52646535212354839"/>
    <x v="0"/>
    <s v="Nov"/>
    <n v="2023"/>
  </r>
  <r>
    <n v="100123"/>
    <x v="30"/>
    <x v="18"/>
    <s v="P0144"/>
    <x v="6"/>
    <n v="3"/>
    <n v="2436.34"/>
    <n v="25"/>
    <x v="2"/>
    <n v="1433.22"/>
    <x v="1"/>
    <s v="Card"/>
    <n v="4299.66"/>
    <n v="5481.7650000000003"/>
    <n v="1182.1050000000005"/>
    <n v="0.21564313683640221"/>
    <x v="1"/>
    <s v="Sep"/>
    <n v="2023"/>
  </r>
  <r>
    <n v="100124"/>
    <x v="112"/>
    <x v="5"/>
    <s v="P0152"/>
    <x v="1"/>
    <n v="3"/>
    <n v="513.6"/>
    <n v="10"/>
    <x v="0"/>
    <n v="248.73"/>
    <x v="2"/>
    <s v="Card"/>
    <n v="746.18999999999994"/>
    <n v="1386.7200000000003"/>
    <n v="640.53000000000031"/>
    <n v="0.46190290758047781"/>
    <x v="1"/>
    <s v="Dec"/>
    <n v="2023"/>
  </r>
  <r>
    <n v="100125"/>
    <x v="110"/>
    <x v="28"/>
    <s v="P0090"/>
    <x v="1"/>
    <n v="4"/>
    <n v="1877.6"/>
    <n v="15"/>
    <x v="1"/>
    <n v="846.62"/>
    <x v="0"/>
    <s v="UPI"/>
    <n v="3386.48"/>
    <n v="6383.8399999999992"/>
    <n v="2997.3599999999992"/>
    <n v="0.46952304569036812"/>
    <x v="0"/>
    <s v="Nov"/>
    <n v="2024"/>
  </r>
  <r>
    <n v="100126"/>
    <x v="113"/>
    <x v="43"/>
    <s v="P0192"/>
    <x v="5"/>
    <n v="4"/>
    <n v="1960.76"/>
    <n v="0"/>
    <x v="0"/>
    <n v="1127.6300000000001"/>
    <x v="1"/>
    <s v="NetBanking"/>
    <n v="4510.5200000000004"/>
    <n v="7843.04"/>
    <n v="3332.5199999999995"/>
    <n v="0.42490156877945279"/>
    <x v="0"/>
    <s v="Feb"/>
    <n v="2023"/>
  </r>
  <r>
    <n v="100127"/>
    <x v="114"/>
    <x v="23"/>
    <s v="P0157"/>
    <x v="6"/>
    <n v="3"/>
    <n v="3581.36"/>
    <n v="30"/>
    <x v="2"/>
    <n v="2008.53"/>
    <x v="2"/>
    <s v="Cash"/>
    <n v="6025.59"/>
    <n v="7520.8559999999998"/>
    <n v="1495.2659999999996"/>
    <n v="0.19881593265447439"/>
    <x v="0"/>
    <s v="Dec"/>
    <n v="2024"/>
  </r>
  <r>
    <n v="100128"/>
    <x v="115"/>
    <x v="42"/>
    <s v="P0115"/>
    <x v="5"/>
    <n v="1"/>
    <n v="4581.3599999999997"/>
    <n v="30"/>
    <x v="2"/>
    <n v="2963.05"/>
    <x v="0"/>
    <s v="UPI"/>
    <n v="2963.05"/>
    <n v="3206.9519999999998"/>
    <n v="243.90199999999959"/>
    <n v="7.6054147364849736E-2"/>
    <x v="0"/>
    <s v="Aug"/>
    <n v="2024"/>
  </r>
  <r>
    <n v="100129"/>
    <x v="116"/>
    <x v="43"/>
    <s v="P0056"/>
    <x v="6"/>
    <n v="4"/>
    <n v="3031.46"/>
    <n v="30"/>
    <x v="2"/>
    <n v="2048.52"/>
    <x v="2"/>
    <s v="Digital"/>
    <n v="8194.08"/>
    <n v="8488.0879999999997"/>
    <n v="294.00799999999981"/>
    <n v="3.4637718176343105E-2"/>
    <x v="0"/>
    <s v="Jan"/>
    <n v="2023"/>
  </r>
  <r>
    <n v="100130"/>
    <x v="117"/>
    <x v="31"/>
    <s v="P0033"/>
    <x v="2"/>
    <n v="2"/>
    <n v="4370.5"/>
    <n v="15"/>
    <x v="1"/>
    <n v="1807.49"/>
    <x v="0"/>
    <s v="NetBanking"/>
    <n v="3614.98"/>
    <n v="7429.8499999999995"/>
    <n v="3814.8699999999994"/>
    <n v="0.51345181935032336"/>
    <x v="1"/>
    <s v="Apr"/>
    <n v="2023"/>
  </r>
  <r>
    <n v="100131"/>
    <x v="118"/>
    <x v="0"/>
    <s v="P0011"/>
    <x v="1"/>
    <n v="2"/>
    <n v="4109.6000000000004"/>
    <n v="0"/>
    <x v="0"/>
    <n v="2861.03"/>
    <x v="0"/>
    <s v="NetBanking"/>
    <n v="5722.06"/>
    <n v="8219.2000000000007"/>
    <n v="2497.1400000000003"/>
    <n v="0.30381788981896052"/>
    <x v="0"/>
    <s v="Jun"/>
    <n v="2023"/>
  </r>
  <r>
    <n v="100132"/>
    <x v="119"/>
    <x v="32"/>
    <s v="P0161"/>
    <x v="2"/>
    <n v="1"/>
    <n v="3823.02"/>
    <n v="10"/>
    <x v="0"/>
    <n v="1979.93"/>
    <x v="2"/>
    <s v="Digital"/>
    <n v="1979.93"/>
    <n v="3440.7179999999998"/>
    <n v="1460.7879999999998"/>
    <n v="0.42455906005665095"/>
    <x v="0"/>
    <s v="Nov"/>
    <n v="2024"/>
  </r>
  <r>
    <n v="100133"/>
    <x v="120"/>
    <x v="19"/>
    <s v="P0055"/>
    <x v="6"/>
    <n v="2"/>
    <n v="473.06"/>
    <n v="0"/>
    <x v="0"/>
    <n v="208.22"/>
    <x v="2"/>
    <s v="Cash"/>
    <n v="416.44"/>
    <n v="946.12"/>
    <n v="529.68000000000006"/>
    <n v="0.55984441719866407"/>
    <x v="0"/>
    <s v="Feb"/>
    <n v="2024"/>
  </r>
  <r>
    <n v="100134"/>
    <x v="121"/>
    <x v="38"/>
    <s v="P0102"/>
    <x v="1"/>
    <n v="2"/>
    <n v="3551.06"/>
    <n v="5"/>
    <x v="0"/>
    <n v="1989.67"/>
    <x v="1"/>
    <s v="NetBanking"/>
    <n v="3979.34"/>
    <n v="6747.0139999999992"/>
    <n v="2767.6739999999991"/>
    <n v="0.41020724130704328"/>
    <x v="1"/>
    <s v="Oct"/>
    <n v="2024"/>
  </r>
  <r>
    <n v="100135"/>
    <x v="31"/>
    <x v="30"/>
    <s v="P0083"/>
    <x v="4"/>
    <n v="3"/>
    <n v="2910.53"/>
    <n v="10"/>
    <x v="0"/>
    <n v="1835.66"/>
    <x v="0"/>
    <s v="UPI"/>
    <n v="5506.9800000000005"/>
    <n v="7858.4310000000005"/>
    <n v="2351.451"/>
    <n v="0.29922652498953034"/>
    <x v="0"/>
    <s v="Nov"/>
    <n v="2024"/>
  </r>
  <r>
    <n v="100136"/>
    <x v="122"/>
    <x v="32"/>
    <s v="P0051"/>
    <x v="4"/>
    <n v="1"/>
    <n v="1433.1"/>
    <n v="15"/>
    <x v="1"/>
    <n v="661.4"/>
    <x v="0"/>
    <s v="NetBanking"/>
    <n v="661.4"/>
    <n v="1218.135"/>
    <n v="556.73500000000001"/>
    <n v="0.45703883395518563"/>
    <x v="1"/>
    <s v="Jan"/>
    <n v="2023"/>
  </r>
  <r>
    <n v="100137"/>
    <x v="73"/>
    <x v="6"/>
    <s v="P0032"/>
    <x v="3"/>
    <n v="1"/>
    <n v="3149.02"/>
    <n v="20"/>
    <x v="1"/>
    <n v="1475.61"/>
    <x v="0"/>
    <s v="UPI"/>
    <n v="1475.61"/>
    <n v="2519.2160000000003"/>
    <n v="1043.6060000000004"/>
    <n v="0.41425824542238548"/>
    <x v="0"/>
    <s v="May"/>
    <n v="2024"/>
  </r>
  <r>
    <n v="100138"/>
    <x v="75"/>
    <x v="42"/>
    <s v="P0162"/>
    <x v="5"/>
    <n v="2"/>
    <n v="1983.36"/>
    <n v="5"/>
    <x v="0"/>
    <n v="860.91"/>
    <x v="2"/>
    <s v="Digital"/>
    <n v="1721.82"/>
    <n v="3768.3839999999996"/>
    <n v="2046.5639999999996"/>
    <n v="0.54308796555765015"/>
    <x v="1"/>
    <s v="Jun"/>
    <n v="2023"/>
  </r>
  <r>
    <n v="100139"/>
    <x v="123"/>
    <x v="37"/>
    <s v="P0193"/>
    <x v="2"/>
    <n v="2"/>
    <n v="3929.9"/>
    <n v="0"/>
    <x v="0"/>
    <n v="2185.2199999999998"/>
    <x v="2"/>
    <s v="Cash"/>
    <n v="4370.4399999999996"/>
    <n v="7859.8"/>
    <n v="3489.3600000000006"/>
    <n v="0.44395022774116394"/>
    <x v="0"/>
    <s v="Sep"/>
    <n v="2023"/>
  </r>
  <r>
    <n v="100140"/>
    <x v="124"/>
    <x v="6"/>
    <s v="P0112"/>
    <x v="5"/>
    <n v="2"/>
    <n v="4849.4799999999996"/>
    <n v="0"/>
    <x v="0"/>
    <n v="2068.41"/>
    <x v="1"/>
    <s v="Card"/>
    <n v="4136.82"/>
    <n v="9698.9599999999991"/>
    <n v="5562.1399999999994"/>
    <n v="0.5734779811443701"/>
    <x v="0"/>
    <s v="Feb"/>
    <n v="2024"/>
  </r>
  <r>
    <n v="100141"/>
    <x v="125"/>
    <x v="34"/>
    <s v="P0075"/>
    <x v="2"/>
    <n v="3"/>
    <n v="435.28"/>
    <n v="0"/>
    <x v="0"/>
    <n v="272.72000000000003"/>
    <x v="1"/>
    <s v="Card"/>
    <n v="818.16000000000008"/>
    <n v="1305.8399999999999"/>
    <n v="487.67999999999984"/>
    <n v="0.37346076088954228"/>
    <x v="0"/>
    <s v="Jul"/>
    <n v="2024"/>
  </r>
  <r>
    <n v="100142"/>
    <x v="126"/>
    <x v="12"/>
    <s v="P0098"/>
    <x v="5"/>
    <n v="3"/>
    <n v="4544.8100000000004"/>
    <n v="0"/>
    <x v="0"/>
    <n v="2659.53"/>
    <x v="2"/>
    <s v="Card"/>
    <n v="7978.59"/>
    <n v="13634.43"/>
    <n v="5655.84"/>
    <n v="0.41482042153577375"/>
    <x v="0"/>
    <s v="Nov"/>
    <n v="2023"/>
  </r>
  <r>
    <n v="100143"/>
    <x v="74"/>
    <x v="15"/>
    <s v="P0052"/>
    <x v="4"/>
    <n v="2"/>
    <n v="2143.5500000000002"/>
    <n v="0"/>
    <x v="0"/>
    <n v="1138.74"/>
    <x v="0"/>
    <s v="Card"/>
    <n v="2277.48"/>
    <n v="4287.1000000000004"/>
    <n v="2009.6200000000003"/>
    <n v="0.4687597676751184"/>
    <x v="0"/>
    <s v="Mar"/>
    <n v="2024"/>
  </r>
  <r>
    <n v="100144"/>
    <x v="127"/>
    <x v="23"/>
    <s v="P0106"/>
    <x v="3"/>
    <n v="1"/>
    <n v="2715.75"/>
    <n v="5"/>
    <x v="0"/>
    <n v="1724.76"/>
    <x v="1"/>
    <s v="UPI"/>
    <n v="1724.76"/>
    <n v="2579.9625000000001"/>
    <n v="855.2025000000001"/>
    <n v="0.33147865521301184"/>
    <x v="0"/>
    <s v="Jun"/>
    <n v="2024"/>
  </r>
  <r>
    <n v="100145"/>
    <x v="128"/>
    <x v="2"/>
    <s v="P0184"/>
    <x v="5"/>
    <n v="3"/>
    <n v="3578.92"/>
    <n v="5"/>
    <x v="0"/>
    <n v="2286.7199999999998"/>
    <x v="0"/>
    <s v="Digital"/>
    <n v="6860.16"/>
    <n v="10199.922"/>
    <n v="3339.7620000000006"/>
    <n v="0.32743015093644839"/>
    <x v="0"/>
    <s v="May"/>
    <n v="2023"/>
  </r>
  <r>
    <n v="100146"/>
    <x v="95"/>
    <x v="19"/>
    <s v="P0034"/>
    <x v="0"/>
    <n v="1"/>
    <n v="2612.9499999999998"/>
    <n v="30"/>
    <x v="2"/>
    <n v="1247.6099999999999"/>
    <x v="1"/>
    <s v="Cash"/>
    <n v="1247.6099999999999"/>
    <n v="1829.0649999999998"/>
    <n v="581.45499999999993"/>
    <n v="0.31789739566390479"/>
    <x v="0"/>
    <s v="Mar"/>
    <n v="2023"/>
  </r>
  <r>
    <n v="100147"/>
    <x v="129"/>
    <x v="13"/>
    <s v="P0115"/>
    <x v="0"/>
    <n v="2"/>
    <n v="2615.31"/>
    <n v="15"/>
    <x v="1"/>
    <n v="1304.06"/>
    <x v="0"/>
    <s v="Digital"/>
    <n v="2608.12"/>
    <n v="4446.027"/>
    <n v="1837.9070000000002"/>
    <n v="0.41338188004706228"/>
    <x v="1"/>
    <s v="Feb"/>
    <n v="2023"/>
  </r>
  <r>
    <n v="100148"/>
    <x v="130"/>
    <x v="11"/>
    <s v="P0118"/>
    <x v="3"/>
    <n v="3"/>
    <n v="905.73"/>
    <n v="5"/>
    <x v="0"/>
    <n v="397.08"/>
    <x v="1"/>
    <s v="UPI"/>
    <n v="1191.24"/>
    <n v="2581.3305"/>
    <n v="1390.0905"/>
    <n v="0.53851705544873085"/>
    <x v="0"/>
    <s v="Apr"/>
    <n v="2023"/>
  </r>
  <r>
    <n v="100149"/>
    <x v="131"/>
    <x v="12"/>
    <s v="P0025"/>
    <x v="4"/>
    <n v="4"/>
    <n v="3312.11"/>
    <n v="30"/>
    <x v="2"/>
    <n v="1505.57"/>
    <x v="1"/>
    <s v="Digital"/>
    <n v="6022.28"/>
    <n v="9273.9079999999994"/>
    <n v="3251.6279999999997"/>
    <n v="0.35062111895006937"/>
    <x v="0"/>
    <s v="Nov"/>
    <n v="2024"/>
  </r>
  <r>
    <n v="100150"/>
    <x v="132"/>
    <x v="44"/>
    <s v="P0178"/>
    <x v="3"/>
    <n v="3"/>
    <n v="4409.29"/>
    <n v="25"/>
    <x v="2"/>
    <n v="2445.2600000000002"/>
    <x v="0"/>
    <s v="NetBanking"/>
    <n v="7335.7800000000007"/>
    <n v="9920.9025000000001"/>
    <n v="2585.1224999999995"/>
    <n v="0.26057331981641785"/>
    <x v="1"/>
    <s v="Nov"/>
    <n v="2024"/>
  </r>
  <r>
    <n v="100151"/>
    <x v="133"/>
    <x v="24"/>
    <s v="P0092"/>
    <x v="4"/>
    <n v="1"/>
    <n v="1203.76"/>
    <n v="5"/>
    <x v="0"/>
    <n v="496.26"/>
    <x v="2"/>
    <s v="NetBanking"/>
    <n v="496.26"/>
    <n v="1143.5719999999999"/>
    <n v="647.3119999999999"/>
    <n v="0.56604393951583276"/>
    <x v="0"/>
    <s v="Jan"/>
    <n v="2023"/>
  </r>
  <r>
    <n v="100152"/>
    <x v="72"/>
    <x v="24"/>
    <s v="P0133"/>
    <x v="2"/>
    <n v="2"/>
    <n v="1131.95"/>
    <n v="10"/>
    <x v="0"/>
    <n v="482.9"/>
    <x v="2"/>
    <s v="Digital"/>
    <n v="965.8"/>
    <n v="2037.5100000000002"/>
    <n v="1071.7100000000003"/>
    <n v="0.52599005649052033"/>
    <x v="0"/>
    <s v="May"/>
    <n v="2024"/>
  </r>
  <r>
    <n v="100153"/>
    <x v="134"/>
    <x v="34"/>
    <s v="P0045"/>
    <x v="3"/>
    <n v="1"/>
    <n v="1973.16"/>
    <n v="20"/>
    <x v="1"/>
    <n v="1318.59"/>
    <x v="2"/>
    <s v="NetBanking"/>
    <n v="1318.59"/>
    <n v="1578.5280000000002"/>
    <n v="259.93800000000033"/>
    <n v="0.16467113665389546"/>
    <x v="1"/>
    <s v="Mar"/>
    <n v="2023"/>
  </r>
  <r>
    <n v="100154"/>
    <x v="135"/>
    <x v="24"/>
    <s v="P0056"/>
    <x v="3"/>
    <n v="3"/>
    <n v="484.77"/>
    <n v="0"/>
    <x v="0"/>
    <n v="310.17"/>
    <x v="2"/>
    <s v="Digital"/>
    <n v="930.51"/>
    <n v="1454.31"/>
    <n v="523.79999999999995"/>
    <n v="0.36017080264867873"/>
    <x v="0"/>
    <s v="May"/>
    <n v="2023"/>
  </r>
  <r>
    <n v="100155"/>
    <x v="136"/>
    <x v="18"/>
    <s v="P0026"/>
    <x v="3"/>
    <n v="2"/>
    <n v="1037.8"/>
    <n v="20"/>
    <x v="1"/>
    <n v="532.58000000000004"/>
    <x v="1"/>
    <s v="Cash"/>
    <n v="1065.1600000000001"/>
    <n v="1660.48"/>
    <n v="595.31999999999994"/>
    <n v="0.35852283677009056"/>
    <x v="1"/>
    <s v="Dec"/>
    <n v="2023"/>
  </r>
  <r>
    <n v="100156"/>
    <x v="137"/>
    <x v="45"/>
    <s v="P0180"/>
    <x v="2"/>
    <n v="4"/>
    <n v="4089.15"/>
    <n v="20"/>
    <x v="1"/>
    <n v="2553.58"/>
    <x v="0"/>
    <s v="Digital"/>
    <n v="10214.32"/>
    <n v="13085.28"/>
    <n v="2870.9600000000009"/>
    <n v="0.21940378807331604"/>
    <x v="1"/>
    <s v="Sep"/>
    <n v="2023"/>
  </r>
  <r>
    <n v="100157"/>
    <x v="138"/>
    <x v="46"/>
    <s v="P0028"/>
    <x v="5"/>
    <n v="3"/>
    <n v="2821.98"/>
    <n v="30"/>
    <x v="2"/>
    <n v="1911.08"/>
    <x v="0"/>
    <s v="UPI"/>
    <n v="5733.24"/>
    <n v="5926.1580000000004"/>
    <n v="192.91800000000057"/>
    <n v="3.2553637618166875E-2"/>
    <x v="1"/>
    <s v="Jun"/>
    <n v="2024"/>
  </r>
  <r>
    <n v="100158"/>
    <x v="139"/>
    <x v="31"/>
    <s v="P0014"/>
    <x v="2"/>
    <n v="3"/>
    <n v="2796.95"/>
    <n v="10"/>
    <x v="0"/>
    <n v="1723.35"/>
    <x v="0"/>
    <s v="UPI"/>
    <n v="5170.0499999999993"/>
    <n v="7551.7649999999985"/>
    <n v="2381.7149999999992"/>
    <n v="0.31538521127180197"/>
    <x v="1"/>
    <s v="Oct"/>
    <n v="2024"/>
  </r>
  <r>
    <n v="100159"/>
    <x v="140"/>
    <x v="7"/>
    <s v="P0151"/>
    <x v="6"/>
    <n v="3"/>
    <n v="1486.45"/>
    <n v="25"/>
    <x v="2"/>
    <n v="912.69"/>
    <x v="2"/>
    <s v="UPI"/>
    <n v="2738.07"/>
    <n v="3344.5125000000003"/>
    <n v="606.44250000000011"/>
    <n v="0.18132463251370717"/>
    <x v="1"/>
    <s v="Sep"/>
    <n v="2024"/>
  </r>
  <r>
    <n v="100160"/>
    <x v="141"/>
    <x v="29"/>
    <s v="P0038"/>
    <x v="2"/>
    <n v="2"/>
    <n v="3823.2"/>
    <n v="0"/>
    <x v="0"/>
    <n v="1564.23"/>
    <x v="1"/>
    <s v="Card"/>
    <n v="3128.46"/>
    <n v="7646.4"/>
    <n v="4517.9399999999996"/>
    <n v="0.59085844318895164"/>
    <x v="1"/>
    <s v="Oct"/>
    <n v="2023"/>
  </r>
  <r>
    <n v="100161"/>
    <x v="142"/>
    <x v="31"/>
    <s v="P0028"/>
    <x v="6"/>
    <n v="3"/>
    <n v="2166.67"/>
    <n v="30"/>
    <x v="2"/>
    <n v="934.83"/>
    <x v="1"/>
    <s v="NetBanking"/>
    <n v="2804.4900000000002"/>
    <n v="4550.0069999999996"/>
    <n v="1745.5169999999994"/>
    <n v="0.38362951969084874"/>
    <x v="1"/>
    <s v="Sep"/>
    <n v="2024"/>
  </r>
  <r>
    <n v="100162"/>
    <x v="143"/>
    <x v="45"/>
    <s v="P0126"/>
    <x v="3"/>
    <n v="2"/>
    <n v="2950.64"/>
    <n v="0"/>
    <x v="0"/>
    <n v="1924.45"/>
    <x v="1"/>
    <s v="Cash"/>
    <n v="3848.9"/>
    <n v="5901.28"/>
    <n v="2052.3799999999997"/>
    <n v="0.34778556516552339"/>
    <x v="0"/>
    <s v="Mar"/>
    <n v="2023"/>
  </r>
  <r>
    <n v="100163"/>
    <x v="144"/>
    <x v="5"/>
    <s v="P0068"/>
    <x v="1"/>
    <n v="4"/>
    <n v="1396.12"/>
    <n v="20"/>
    <x v="1"/>
    <n v="702.08"/>
    <x v="2"/>
    <s v="Card"/>
    <n v="2808.32"/>
    <n v="4467.5839999999998"/>
    <n v="1659.2639999999997"/>
    <n v="0.37140073919147343"/>
    <x v="0"/>
    <s v="Jan"/>
    <n v="2023"/>
  </r>
  <r>
    <n v="100164"/>
    <x v="145"/>
    <x v="12"/>
    <s v="P0111"/>
    <x v="6"/>
    <n v="2"/>
    <n v="4009.1"/>
    <n v="20"/>
    <x v="1"/>
    <n v="2203.13"/>
    <x v="0"/>
    <s v="NetBanking"/>
    <n v="4406.26"/>
    <n v="6414.56"/>
    <n v="2008.3000000000002"/>
    <n v="0.3130846075178968"/>
    <x v="0"/>
    <s v="Apr"/>
    <n v="2023"/>
  </r>
  <r>
    <n v="100165"/>
    <x v="91"/>
    <x v="24"/>
    <s v="P0083"/>
    <x v="0"/>
    <n v="2"/>
    <n v="3058.15"/>
    <n v="25"/>
    <x v="2"/>
    <n v="1907.16"/>
    <x v="2"/>
    <s v="UPI"/>
    <n v="3814.32"/>
    <n v="4587.2250000000004"/>
    <n v="772.9050000000002"/>
    <n v="0.16849075421414911"/>
    <x v="0"/>
    <s v="Jan"/>
    <n v="2024"/>
  </r>
  <r>
    <n v="100166"/>
    <x v="146"/>
    <x v="15"/>
    <s v="P0064"/>
    <x v="1"/>
    <n v="2"/>
    <n v="1633.75"/>
    <n v="25"/>
    <x v="2"/>
    <n v="831.46"/>
    <x v="0"/>
    <s v="UPI"/>
    <n v="1662.92"/>
    <n v="2450.625"/>
    <n v="787.70499999999993"/>
    <n v="0.32143024738587095"/>
    <x v="0"/>
    <s v="Oct"/>
    <n v="2023"/>
  </r>
  <r>
    <n v="100167"/>
    <x v="147"/>
    <x v="5"/>
    <s v="P0033"/>
    <x v="5"/>
    <n v="2"/>
    <n v="1448.46"/>
    <n v="20"/>
    <x v="1"/>
    <n v="795.89"/>
    <x v="2"/>
    <s v="Card"/>
    <n v="1591.78"/>
    <n v="2317.5360000000001"/>
    <n v="725.75600000000009"/>
    <n v="0.31315845794844183"/>
    <x v="0"/>
    <s v="Jan"/>
    <n v="2024"/>
  </r>
  <r>
    <n v="100168"/>
    <x v="23"/>
    <x v="33"/>
    <s v="P0112"/>
    <x v="0"/>
    <n v="1"/>
    <n v="778.38"/>
    <n v="25"/>
    <x v="2"/>
    <n v="347.05"/>
    <x v="2"/>
    <s v="Card"/>
    <n v="347.05"/>
    <n v="583.78499999999997"/>
    <n v="236.73499999999996"/>
    <n v="0.40551744220903241"/>
    <x v="0"/>
    <s v="May"/>
    <n v="2024"/>
  </r>
  <r>
    <n v="100169"/>
    <x v="148"/>
    <x v="3"/>
    <s v="P0095"/>
    <x v="0"/>
    <n v="4"/>
    <n v="4298.84"/>
    <n v="15"/>
    <x v="1"/>
    <n v="1832.88"/>
    <x v="0"/>
    <s v="UPI"/>
    <n v="7331.52"/>
    <n v="14616.056"/>
    <n v="7284.5360000000001"/>
    <n v="0.49839272646464955"/>
    <x v="1"/>
    <s v="Dec"/>
    <n v="2023"/>
  </r>
  <r>
    <n v="100170"/>
    <x v="149"/>
    <x v="13"/>
    <s v="P0031"/>
    <x v="3"/>
    <n v="4"/>
    <n v="4514.8"/>
    <n v="20"/>
    <x v="1"/>
    <n v="1914.59"/>
    <x v="1"/>
    <s v="UPI"/>
    <n v="7658.36"/>
    <n v="14447.36"/>
    <n v="6789.0000000000009"/>
    <n v="0.46991284220784979"/>
    <x v="0"/>
    <s v="Aug"/>
    <n v="2023"/>
  </r>
  <r>
    <n v="100171"/>
    <x v="150"/>
    <x v="21"/>
    <s v="P0066"/>
    <x v="2"/>
    <n v="4"/>
    <n v="3575.72"/>
    <n v="15"/>
    <x v="1"/>
    <n v="2500.06"/>
    <x v="0"/>
    <s v="Cash"/>
    <n v="10000.24"/>
    <n v="12157.447999999999"/>
    <n v="2157.2079999999987"/>
    <n v="0.17743921257158565"/>
    <x v="0"/>
    <s v="Jan"/>
    <n v="2023"/>
  </r>
  <r>
    <n v="100172"/>
    <x v="28"/>
    <x v="7"/>
    <s v="P0118"/>
    <x v="5"/>
    <n v="4"/>
    <n v="4856.51"/>
    <n v="10"/>
    <x v="0"/>
    <n v="3203.61"/>
    <x v="1"/>
    <s v="Digital"/>
    <n v="12814.44"/>
    <n v="17483.436000000002"/>
    <n v="4668.996000000001"/>
    <n v="0.26705254047316562"/>
    <x v="0"/>
    <s v="Oct"/>
    <n v="2024"/>
  </r>
  <r>
    <n v="100173"/>
    <x v="151"/>
    <x v="15"/>
    <s v="P0185"/>
    <x v="2"/>
    <n v="1"/>
    <n v="2606.52"/>
    <n v="20"/>
    <x v="1"/>
    <n v="1607.88"/>
    <x v="2"/>
    <s v="NetBanking"/>
    <n v="1607.88"/>
    <n v="2085.2159999999999"/>
    <n v="477.33599999999979"/>
    <n v="0.22891441462179449"/>
    <x v="1"/>
    <s v="Jul"/>
    <n v="2024"/>
  </r>
  <r>
    <n v="100174"/>
    <x v="152"/>
    <x v="44"/>
    <s v="P0173"/>
    <x v="6"/>
    <n v="2"/>
    <n v="2916.79"/>
    <n v="5"/>
    <x v="0"/>
    <n v="1666.9"/>
    <x v="0"/>
    <s v="NetBanking"/>
    <n v="3333.8"/>
    <n v="5541.9009999999998"/>
    <n v="2208.1009999999997"/>
    <n v="0.39843746757655896"/>
    <x v="1"/>
    <s v="Mar"/>
    <n v="2024"/>
  </r>
  <r>
    <n v="100175"/>
    <x v="114"/>
    <x v="45"/>
    <s v="P0020"/>
    <x v="4"/>
    <n v="4"/>
    <n v="1263.8599999999999"/>
    <n v="0"/>
    <x v="0"/>
    <n v="872.57"/>
    <x v="1"/>
    <s v="Cash"/>
    <n v="3490.28"/>
    <n v="5055.4399999999996"/>
    <n v="1565.1599999999994"/>
    <n v="0.30959916446441843"/>
    <x v="0"/>
    <s v="Dec"/>
    <n v="2024"/>
  </r>
  <r>
    <n v="100176"/>
    <x v="64"/>
    <x v="42"/>
    <s v="P0064"/>
    <x v="5"/>
    <n v="1"/>
    <n v="2790.25"/>
    <n v="20"/>
    <x v="1"/>
    <n v="1708.1"/>
    <x v="1"/>
    <s v="NetBanking"/>
    <n v="1708.1"/>
    <n v="2232.2000000000003"/>
    <n v="524.10000000000036"/>
    <n v="0.23479078935579262"/>
    <x v="0"/>
    <s v="Oct"/>
    <n v="2024"/>
  </r>
  <r>
    <n v="100177"/>
    <x v="30"/>
    <x v="28"/>
    <s v="P0161"/>
    <x v="6"/>
    <n v="2"/>
    <n v="3031.82"/>
    <n v="0"/>
    <x v="0"/>
    <n v="1353.13"/>
    <x v="2"/>
    <s v="Cash"/>
    <n v="2706.26"/>
    <n v="6063.64"/>
    <n v="3357.38"/>
    <n v="0.5536905225244243"/>
    <x v="1"/>
    <s v="Sep"/>
    <n v="2023"/>
  </r>
  <r>
    <n v="100178"/>
    <x v="153"/>
    <x v="26"/>
    <s v="P0172"/>
    <x v="3"/>
    <n v="2"/>
    <n v="1882.04"/>
    <n v="10"/>
    <x v="0"/>
    <n v="828.71"/>
    <x v="2"/>
    <s v="UPI"/>
    <n v="1657.42"/>
    <n v="3387.672"/>
    <n v="1730.252"/>
    <n v="0.51074956489294121"/>
    <x v="0"/>
    <s v="Oct"/>
    <n v="2024"/>
  </r>
  <r>
    <n v="100179"/>
    <x v="154"/>
    <x v="27"/>
    <s v="P0063"/>
    <x v="5"/>
    <n v="2"/>
    <n v="1815.06"/>
    <n v="5"/>
    <x v="0"/>
    <n v="1167.02"/>
    <x v="2"/>
    <s v="NetBanking"/>
    <n v="2334.04"/>
    <n v="3448.6139999999996"/>
    <n v="1114.5739999999996"/>
    <n v="0.32319476752109683"/>
    <x v="0"/>
    <s v="Nov"/>
    <n v="2023"/>
  </r>
  <r>
    <n v="100180"/>
    <x v="155"/>
    <x v="23"/>
    <s v="P0163"/>
    <x v="6"/>
    <n v="1"/>
    <n v="312.74"/>
    <n v="15"/>
    <x v="1"/>
    <n v="136.04"/>
    <x v="0"/>
    <s v="NetBanking"/>
    <n v="136.04"/>
    <n v="265.82900000000001"/>
    <n v="129.78900000000002"/>
    <n v="0.48824244156958047"/>
    <x v="0"/>
    <s v="Jul"/>
    <n v="2024"/>
  </r>
  <r>
    <n v="100181"/>
    <x v="156"/>
    <x v="47"/>
    <s v="P0178"/>
    <x v="3"/>
    <n v="2"/>
    <n v="801.49"/>
    <n v="0"/>
    <x v="0"/>
    <n v="525.15"/>
    <x v="2"/>
    <s v="NetBanking"/>
    <n v="1050.3"/>
    <n v="1602.98"/>
    <n v="552.68000000000006"/>
    <n v="0.34478284195685538"/>
    <x v="0"/>
    <s v="Aug"/>
    <n v="2023"/>
  </r>
  <r>
    <n v="100182"/>
    <x v="99"/>
    <x v="11"/>
    <s v="P0035"/>
    <x v="6"/>
    <n v="2"/>
    <n v="4684.8100000000004"/>
    <n v="20"/>
    <x v="1"/>
    <n v="3266.62"/>
    <x v="1"/>
    <s v="Digital"/>
    <n v="6533.24"/>
    <n v="7495.6960000000008"/>
    <n v="962.45600000000104"/>
    <n v="0.1284011518076508"/>
    <x v="1"/>
    <s v="Aug"/>
    <n v="2024"/>
  </r>
  <r>
    <n v="100183"/>
    <x v="157"/>
    <x v="6"/>
    <s v="P0072"/>
    <x v="2"/>
    <n v="1"/>
    <n v="3783.27"/>
    <n v="5"/>
    <x v="0"/>
    <n v="2165.3200000000002"/>
    <x v="2"/>
    <s v="Card"/>
    <n v="2165.3200000000002"/>
    <n v="3594.1064999999999"/>
    <n v="1428.7864999999997"/>
    <n v="0.39753593834795931"/>
    <x v="0"/>
    <s v="Dec"/>
    <n v="2023"/>
  </r>
  <r>
    <n v="100184"/>
    <x v="158"/>
    <x v="12"/>
    <s v="P0165"/>
    <x v="5"/>
    <n v="3"/>
    <n v="4037.76"/>
    <n v="20"/>
    <x v="1"/>
    <n v="1859.34"/>
    <x v="1"/>
    <s v="Card"/>
    <n v="5578.0199999999995"/>
    <n v="9690.6240000000016"/>
    <n v="4112.6040000000021"/>
    <n v="0.42439000832144569"/>
    <x v="0"/>
    <s v="Oct"/>
    <n v="2023"/>
  </r>
  <r>
    <n v="100185"/>
    <x v="151"/>
    <x v="4"/>
    <s v="P0132"/>
    <x v="5"/>
    <n v="1"/>
    <n v="1407.75"/>
    <n v="10"/>
    <x v="0"/>
    <n v="830.75"/>
    <x v="1"/>
    <s v="Cash"/>
    <n v="830.75"/>
    <n v="1266.9750000000001"/>
    <n v="436.22500000000014"/>
    <n v="0.3443043469681723"/>
    <x v="1"/>
    <s v="Jul"/>
    <n v="2024"/>
  </r>
  <r>
    <n v="100186"/>
    <x v="159"/>
    <x v="45"/>
    <s v="P0072"/>
    <x v="0"/>
    <n v="1"/>
    <n v="4422.84"/>
    <n v="30"/>
    <x v="2"/>
    <n v="2289.85"/>
    <x v="2"/>
    <s v="NetBanking"/>
    <n v="2289.85"/>
    <n v="3095.9879999999998"/>
    <n v="806.13799999999992"/>
    <n v="0.2603815001866932"/>
    <x v="0"/>
    <s v="Oct"/>
    <n v="2023"/>
  </r>
  <r>
    <n v="100187"/>
    <x v="160"/>
    <x v="36"/>
    <s v="P0166"/>
    <x v="2"/>
    <n v="3"/>
    <n v="3654.78"/>
    <n v="20"/>
    <x v="1"/>
    <n v="2448.34"/>
    <x v="0"/>
    <s v="UPI"/>
    <n v="7345.02"/>
    <n v="8771.4719999999998"/>
    <n v="1426.4519999999993"/>
    <n v="0.16262401567262591"/>
    <x v="1"/>
    <s v="Sep"/>
    <n v="2024"/>
  </r>
  <r>
    <n v="100188"/>
    <x v="161"/>
    <x v="28"/>
    <s v="P0145"/>
    <x v="0"/>
    <n v="1"/>
    <n v="3813.76"/>
    <n v="0"/>
    <x v="0"/>
    <n v="2100.6799999999998"/>
    <x v="1"/>
    <s v="UPI"/>
    <n v="2100.6799999999998"/>
    <n v="3813.76"/>
    <n v="1713.0800000000004"/>
    <n v="0.44918400738378927"/>
    <x v="1"/>
    <s v="Oct"/>
    <n v="2024"/>
  </r>
  <r>
    <n v="100189"/>
    <x v="162"/>
    <x v="24"/>
    <s v="P0104"/>
    <x v="5"/>
    <n v="1"/>
    <n v="2139.9699999999998"/>
    <n v="15"/>
    <x v="1"/>
    <n v="1197.44"/>
    <x v="2"/>
    <s v="Card"/>
    <n v="1197.44"/>
    <n v="1818.9744999999998"/>
    <n v="621.53449999999975"/>
    <n v="0.34169500452040413"/>
    <x v="1"/>
    <s v="Sep"/>
    <n v="2024"/>
  </r>
  <r>
    <n v="100190"/>
    <x v="163"/>
    <x v="7"/>
    <s v="P0135"/>
    <x v="3"/>
    <n v="3"/>
    <n v="2851.39"/>
    <n v="10"/>
    <x v="0"/>
    <n v="1509.69"/>
    <x v="1"/>
    <s v="Cash"/>
    <n v="4529.07"/>
    <n v="7698.7530000000006"/>
    <n v="3169.6830000000009"/>
    <n v="0.41171381910810761"/>
    <x v="0"/>
    <s v="Aug"/>
    <n v="2024"/>
  </r>
  <r>
    <n v="100191"/>
    <x v="164"/>
    <x v="14"/>
    <s v="P0111"/>
    <x v="3"/>
    <n v="3"/>
    <n v="1874.06"/>
    <n v="0"/>
    <x v="0"/>
    <n v="827.93"/>
    <x v="0"/>
    <s v="Digital"/>
    <n v="2483.79"/>
    <n v="5622.18"/>
    <n v="3138.3900000000003"/>
    <n v="0.5582158522139099"/>
    <x v="1"/>
    <s v="Jan"/>
    <n v="2023"/>
  </r>
  <r>
    <n v="100192"/>
    <x v="165"/>
    <x v="45"/>
    <s v="P0157"/>
    <x v="5"/>
    <n v="1"/>
    <n v="2628.49"/>
    <n v="20"/>
    <x v="1"/>
    <n v="1636.07"/>
    <x v="0"/>
    <s v="UPI"/>
    <n v="1636.07"/>
    <n v="2102.7919999999999"/>
    <n v="466.72199999999998"/>
    <n v="0.22195347899364273"/>
    <x v="1"/>
    <s v="Feb"/>
    <n v="2024"/>
  </r>
  <r>
    <n v="100193"/>
    <x v="166"/>
    <x v="7"/>
    <s v="P0183"/>
    <x v="6"/>
    <n v="2"/>
    <n v="3836.29"/>
    <n v="30"/>
    <x v="2"/>
    <n v="2348.17"/>
    <x v="2"/>
    <s v="NetBanking"/>
    <n v="4696.34"/>
    <n v="5370.8059999999996"/>
    <n v="674.46599999999944"/>
    <n v="0.125580033983726"/>
    <x v="0"/>
    <s v="Feb"/>
    <n v="2024"/>
  </r>
  <r>
    <n v="100194"/>
    <x v="79"/>
    <x v="8"/>
    <s v="P0005"/>
    <x v="6"/>
    <n v="1"/>
    <n v="457.6"/>
    <n v="0"/>
    <x v="0"/>
    <n v="261.27"/>
    <x v="1"/>
    <s v="NetBanking"/>
    <n v="261.27"/>
    <n v="457.6"/>
    <n v="196.33000000000004"/>
    <n v="0.42904283216783223"/>
    <x v="0"/>
    <s v="Jun"/>
    <n v="2024"/>
  </r>
  <r>
    <n v="100195"/>
    <x v="167"/>
    <x v="9"/>
    <s v="P0047"/>
    <x v="4"/>
    <n v="3"/>
    <n v="3846.79"/>
    <n v="25"/>
    <x v="2"/>
    <n v="1657.48"/>
    <x v="1"/>
    <s v="Cash"/>
    <n v="4972.4400000000005"/>
    <n v="8655.2775000000001"/>
    <n v="3682.8374999999996"/>
    <n v="0.42550195530992502"/>
    <x v="0"/>
    <s v="Jun"/>
    <n v="2023"/>
  </r>
  <r>
    <n v="100196"/>
    <x v="164"/>
    <x v="17"/>
    <s v="P0157"/>
    <x v="3"/>
    <n v="4"/>
    <n v="2447.9"/>
    <n v="15"/>
    <x v="1"/>
    <n v="1422.69"/>
    <x v="2"/>
    <s v="Digital"/>
    <n v="5690.76"/>
    <n v="8322.86"/>
    <n v="2632.1000000000004"/>
    <n v="0.31624946232424916"/>
    <x v="1"/>
    <s v="Jan"/>
    <n v="2023"/>
  </r>
  <r>
    <n v="100197"/>
    <x v="63"/>
    <x v="6"/>
    <s v="P0130"/>
    <x v="0"/>
    <n v="4"/>
    <n v="1004.61"/>
    <n v="0"/>
    <x v="0"/>
    <n v="470.94"/>
    <x v="0"/>
    <s v="Digital"/>
    <n v="1883.76"/>
    <n v="4018.44"/>
    <n v="2134.6800000000003"/>
    <n v="0.53122107086332016"/>
    <x v="0"/>
    <s v="Nov"/>
    <n v="2024"/>
  </r>
  <r>
    <n v="100198"/>
    <x v="168"/>
    <x v="6"/>
    <s v="P0026"/>
    <x v="3"/>
    <n v="3"/>
    <n v="3313.39"/>
    <n v="0"/>
    <x v="0"/>
    <n v="2015.15"/>
    <x v="1"/>
    <s v="NetBanking"/>
    <n v="6045.4500000000007"/>
    <n v="9940.17"/>
    <n v="3894.7199999999993"/>
    <n v="0.39181623654323811"/>
    <x v="0"/>
    <s v="Oct"/>
    <n v="2023"/>
  </r>
  <r>
    <n v="100199"/>
    <x v="50"/>
    <x v="7"/>
    <s v="P0074"/>
    <x v="2"/>
    <n v="3"/>
    <n v="3115.44"/>
    <n v="0"/>
    <x v="0"/>
    <n v="2018.93"/>
    <x v="2"/>
    <s v="NetBanking"/>
    <n v="6056.79"/>
    <n v="9346.32"/>
    <n v="3289.5299999999997"/>
    <n v="0.35195991577433683"/>
    <x v="0"/>
    <s v="Sep"/>
    <n v="2023"/>
  </r>
  <r>
    <n v="100200"/>
    <x v="9"/>
    <x v="8"/>
    <s v="P0046"/>
    <x v="1"/>
    <n v="4"/>
    <n v="3041.94"/>
    <n v="0"/>
    <x v="0"/>
    <n v="1582.59"/>
    <x v="0"/>
    <s v="NetBanking"/>
    <n v="6330.36"/>
    <n v="12167.76"/>
    <n v="5837.4000000000005"/>
    <n v="0.47974319020099021"/>
    <x v="0"/>
    <s v="Dec"/>
    <n v="2023"/>
  </r>
  <r>
    <n v="100201"/>
    <x v="169"/>
    <x v="18"/>
    <s v="P0111"/>
    <x v="0"/>
    <n v="3"/>
    <n v="1020.75"/>
    <n v="25"/>
    <x v="2"/>
    <n v="587.82000000000005"/>
    <x v="1"/>
    <s v="Card"/>
    <n v="1763.46"/>
    <n v="2296.6875"/>
    <n v="533.22749999999996"/>
    <n v="0.23217242223855006"/>
    <x v="1"/>
    <s v="Jul"/>
    <n v="2023"/>
  </r>
  <r>
    <n v="100202"/>
    <x v="170"/>
    <x v="43"/>
    <s v="P0068"/>
    <x v="0"/>
    <n v="4"/>
    <n v="4398.9799999999996"/>
    <n v="25"/>
    <x v="2"/>
    <n v="2989.7"/>
    <x v="0"/>
    <s v="UPI"/>
    <n v="11958.8"/>
    <n v="13196.939999999999"/>
    <n v="1238.1399999999994"/>
    <n v="9.3820234084568049E-2"/>
    <x v="0"/>
    <s v="Dec"/>
    <n v="2023"/>
  </r>
  <r>
    <n v="100203"/>
    <x v="171"/>
    <x v="6"/>
    <s v="P0092"/>
    <x v="6"/>
    <n v="1"/>
    <n v="4635.75"/>
    <n v="30"/>
    <x v="2"/>
    <n v="2837.87"/>
    <x v="1"/>
    <s v="NetBanking"/>
    <n v="2837.87"/>
    <n v="3245.0249999999996"/>
    <n v="407.15499999999975"/>
    <n v="0.12547052796203412"/>
    <x v="1"/>
    <s v="Apr"/>
    <n v="2023"/>
  </r>
  <r>
    <n v="100204"/>
    <x v="172"/>
    <x v="18"/>
    <s v="P0040"/>
    <x v="4"/>
    <n v="3"/>
    <n v="3151.56"/>
    <n v="5"/>
    <x v="0"/>
    <n v="1661.63"/>
    <x v="0"/>
    <s v="Cash"/>
    <n v="4984.8900000000003"/>
    <n v="8981.9459999999999"/>
    <n v="3997.0559999999996"/>
    <n v="0.44501002344035462"/>
    <x v="1"/>
    <s v="Jan"/>
    <n v="2023"/>
  </r>
  <r>
    <n v="100205"/>
    <x v="22"/>
    <x v="25"/>
    <s v="P0149"/>
    <x v="3"/>
    <n v="1"/>
    <n v="4650.17"/>
    <n v="30"/>
    <x v="2"/>
    <n v="2489.0100000000002"/>
    <x v="1"/>
    <s v="Digital"/>
    <n v="2489.0100000000002"/>
    <n v="3255.1189999999997"/>
    <n v="766.10899999999947"/>
    <n v="0.2353551436982794"/>
    <x v="0"/>
    <s v="Sep"/>
    <n v="2024"/>
  </r>
  <r>
    <n v="100206"/>
    <x v="122"/>
    <x v="43"/>
    <s v="P0063"/>
    <x v="5"/>
    <n v="2"/>
    <n v="4242.82"/>
    <n v="0"/>
    <x v="0"/>
    <n v="1855.8"/>
    <x v="1"/>
    <s v="Digital"/>
    <n v="3711.6"/>
    <n v="8485.64"/>
    <n v="4774.0399999999991"/>
    <n v="0.5626022315346868"/>
    <x v="1"/>
    <s v="Jan"/>
    <n v="2023"/>
  </r>
  <r>
    <n v="100207"/>
    <x v="173"/>
    <x v="34"/>
    <s v="P0175"/>
    <x v="3"/>
    <n v="2"/>
    <n v="2738.54"/>
    <n v="25"/>
    <x v="2"/>
    <n v="1581.19"/>
    <x v="0"/>
    <s v="NetBanking"/>
    <n v="3162.38"/>
    <n v="4107.8099999999995"/>
    <n v="945.42999999999938"/>
    <n v="0.23015426711556755"/>
    <x v="0"/>
    <s v="Oct"/>
    <n v="2024"/>
  </r>
  <r>
    <n v="100208"/>
    <x v="174"/>
    <x v="3"/>
    <s v="P0117"/>
    <x v="4"/>
    <n v="1"/>
    <n v="3797.97"/>
    <n v="0"/>
    <x v="0"/>
    <n v="1753.42"/>
    <x v="2"/>
    <s v="Card"/>
    <n v="1753.42"/>
    <n v="3797.97"/>
    <n v="2044.5499999999997"/>
    <n v="0.53832705366287781"/>
    <x v="0"/>
    <s v="Nov"/>
    <n v="2023"/>
  </r>
  <r>
    <n v="100209"/>
    <x v="175"/>
    <x v="45"/>
    <s v="P0090"/>
    <x v="0"/>
    <n v="2"/>
    <n v="1867.45"/>
    <n v="20"/>
    <x v="1"/>
    <n v="970.05"/>
    <x v="0"/>
    <s v="Cash"/>
    <n v="1940.1"/>
    <n v="2987.92"/>
    <n v="1047.8200000000002"/>
    <n v="0.35068542665131602"/>
    <x v="0"/>
    <s v="Jun"/>
    <n v="2024"/>
  </r>
  <r>
    <n v="100210"/>
    <x v="176"/>
    <x v="22"/>
    <s v="P0162"/>
    <x v="6"/>
    <n v="3"/>
    <n v="4637.91"/>
    <n v="0"/>
    <x v="0"/>
    <n v="2503.13"/>
    <x v="1"/>
    <s v="Card"/>
    <n v="7509.39"/>
    <n v="13913.73"/>
    <n v="6404.3399999999992"/>
    <n v="0.46028922510354875"/>
    <x v="0"/>
    <s v="Apr"/>
    <n v="2024"/>
  </r>
  <r>
    <n v="100211"/>
    <x v="177"/>
    <x v="4"/>
    <s v="P0182"/>
    <x v="5"/>
    <n v="3"/>
    <n v="2425.42"/>
    <n v="20"/>
    <x v="1"/>
    <n v="1133.5999999999999"/>
    <x v="2"/>
    <s v="NetBanking"/>
    <n v="3400.7999999999997"/>
    <n v="5821.0080000000007"/>
    <n v="2420.208000000001"/>
    <n v="0.41577128909632161"/>
    <x v="0"/>
    <s v="Jun"/>
    <n v="2023"/>
  </r>
  <r>
    <n v="100212"/>
    <x v="87"/>
    <x v="5"/>
    <s v="P0088"/>
    <x v="3"/>
    <n v="4"/>
    <n v="3014.87"/>
    <n v="5"/>
    <x v="0"/>
    <n v="1355.65"/>
    <x v="1"/>
    <s v="NetBanking"/>
    <n v="5422.6"/>
    <n v="11456.505999999999"/>
    <n v="6033.905999999999"/>
    <n v="0.52667942564687698"/>
    <x v="0"/>
    <s v="May"/>
    <n v="2024"/>
  </r>
  <r>
    <n v="100213"/>
    <x v="2"/>
    <x v="38"/>
    <s v="P0154"/>
    <x v="3"/>
    <n v="1"/>
    <n v="2003.25"/>
    <n v="5"/>
    <x v="0"/>
    <n v="1150.22"/>
    <x v="1"/>
    <s v="NetBanking"/>
    <n v="1150.22"/>
    <n v="1903.0874999999999"/>
    <n v="752.86749999999984"/>
    <n v="0.39560319743574579"/>
    <x v="0"/>
    <s v="Oct"/>
    <n v="2024"/>
  </r>
  <r>
    <n v="100214"/>
    <x v="178"/>
    <x v="25"/>
    <s v="P0105"/>
    <x v="0"/>
    <n v="4"/>
    <n v="1299.5999999999999"/>
    <n v="20"/>
    <x v="1"/>
    <n v="720.7"/>
    <x v="0"/>
    <s v="NetBanking"/>
    <n v="2882.8"/>
    <n v="4158.72"/>
    <n v="1275.92"/>
    <n v="0.30680594028931979"/>
    <x v="1"/>
    <s v="Mar"/>
    <n v="2023"/>
  </r>
  <r>
    <n v="100215"/>
    <x v="179"/>
    <x v="42"/>
    <s v="P0189"/>
    <x v="2"/>
    <n v="1"/>
    <n v="2919.34"/>
    <n v="0"/>
    <x v="0"/>
    <n v="1921.48"/>
    <x v="0"/>
    <s v="Digital"/>
    <n v="1921.48"/>
    <n v="2919.34"/>
    <n v="997.86000000000013"/>
    <n v="0.34181013516753789"/>
    <x v="1"/>
    <s v="Mar"/>
    <n v="2023"/>
  </r>
  <r>
    <n v="100216"/>
    <x v="180"/>
    <x v="10"/>
    <s v="P0179"/>
    <x v="2"/>
    <n v="4"/>
    <n v="2660.32"/>
    <n v="10"/>
    <x v="0"/>
    <n v="1539.3"/>
    <x v="2"/>
    <s v="Digital"/>
    <n v="6157.2"/>
    <n v="9577.152"/>
    <n v="3419.9520000000002"/>
    <n v="0.35709488582827131"/>
    <x v="1"/>
    <s v="May"/>
    <n v="2023"/>
  </r>
  <r>
    <n v="100217"/>
    <x v="181"/>
    <x v="28"/>
    <s v="P0029"/>
    <x v="4"/>
    <n v="3"/>
    <n v="4058.98"/>
    <n v="10"/>
    <x v="0"/>
    <n v="2049.04"/>
    <x v="0"/>
    <s v="UPI"/>
    <n v="6147.12"/>
    <n v="10959.246000000001"/>
    <n v="4812.1260000000011"/>
    <n v="0.43909279890240632"/>
    <x v="0"/>
    <s v="Oct"/>
    <n v="2024"/>
  </r>
  <r>
    <n v="100218"/>
    <x v="182"/>
    <x v="44"/>
    <s v="P0019"/>
    <x v="4"/>
    <n v="1"/>
    <n v="471.78"/>
    <n v="20"/>
    <x v="1"/>
    <n v="255.53"/>
    <x v="2"/>
    <s v="UPI"/>
    <n v="255.53"/>
    <n v="377.42399999999998"/>
    <n v="121.89399999999998"/>
    <n v="0.322963033617364"/>
    <x v="0"/>
    <s v="Feb"/>
    <n v="2024"/>
  </r>
  <r>
    <n v="100219"/>
    <x v="183"/>
    <x v="26"/>
    <s v="P0113"/>
    <x v="1"/>
    <n v="2"/>
    <n v="1682.01"/>
    <n v="0"/>
    <x v="0"/>
    <n v="1033.1199999999999"/>
    <x v="2"/>
    <s v="NetBanking"/>
    <n v="2066.2399999999998"/>
    <n v="3364.02"/>
    <n v="1297.7800000000002"/>
    <n v="0.38578248642992619"/>
    <x v="0"/>
    <s v="Jul"/>
    <n v="2023"/>
  </r>
  <r>
    <n v="100220"/>
    <x v="184"/>
    <x v="46"/>
    <s v="P0129"/>
    <x v="6"/>
    <n v="2"/>
    <n v="2635.96"/>
    <n v="25"/>
    <x v="2"/>
    <n v="1659.62"/>
    <x v="2"/>
    <s v="NetBanking"/>
    <n v="3319.24"/>
    <n v="3953.94"/>
    <n v="634.70000000000027"/>
    <n v="0.16052342726495603"/>
    <x v="1"/>
    <s v="Oct"/>
    <n v="2024"/>
  </r>
  <r>
    <n v="100221"/>
    <x v="185"/>
    <x v="18"/>
    <s v="P0110"/>
    <x v="3"/>
    <n v="4"/>
    <n v="4350.3900000000003"/>
    <n v="0"/>
    <x v="0"/>
    <n v="2974.95"/>
    <x v="1"/>
    <s v="Card"/>
    <n v="11899.8"/>
    <n v="17401.560000000001"/>
    <n v="5501.760000000002"/>
    <n v="0.31616475764241836"/>
    <x v="0"/>
    <s v="Apr"/>
    <n v="2024"/>
  </r>
  <r>
    <n v="100222"/>
    <x v="5"/>
    <x v="5"/>
    <s v="P0032"/>
    <x v="3"/>
    <n v="2"/>
    <n v="2221.0500000000002"/>
    <n v="30"/>
    <x v="2"/>
    <n v="905.34"/>
    <x v="0"/>
    <s v="Cash"/>
    <n v="1810.68"/>
    <n v="3109.4700000000003"/>
    <n v="1298.7900000000002"/>
    <n v="0.41768854499319824"/>
    <x v="1"/>
    <s v="Apr"/>
    <n v="2024"/>
  </r>
  <r>
    <n v="100223"/>
    <x v="174"/>
    <x v="20"/>
    <s v="P0067"/>
    <x v="1"/>
    <n v="2"/>
    <n v="4374.87"/>
    <n v="25"/>
    <x v="2"/>
    <n v="2285.41"/>
    <x v="2"/>
    <s v="NetBanking"/>
    <n v="4570.82"/>
    <n v="6562.3050000000003"/>
    <n v="1991.4850000000006"/>
    <n v="0.3034733984476492"/>
    <x v="0"/>
    <s v="Nov"/>
    <n v="2023"/>
  </r>
  <r>
    <n v="100224"/>
    <x v="186"/>
    <x v="12"/>
    <s v="P0054"/>
    <x v="3"/>
    <n v="4"/>
    <n v="1221.73"/>
    <n v="30"/>
    <x v="2"/>
    <n v="673.97"/>
    <x v="2"/>
    <s v="Card"/>
    <n v="2695.88"/>
    <n v="3420.8440000000001"/>
    <n v="724.96399999999994"/>
    <n v="0.21192547803992229"/>
    <x v="0"/>
    <s v="Nov"/>
    <n v="2023"/>
  </r>
  <r>
    <n v="100225"/>
    <x v="40"/>
    <x v="36"/>
    <s v="P0092"/>
    <x v="2"/>
    <n v="1"/>
    <n v="4059.61"/>
    <n v="0"/>
    <x v="0"/>
    <n v="1841.29"/>
    <x v="2"/>
    <s v="Digital"/>
    <n v="1841.29"/>
    <n v="4059.61"/>
    <n v="2218.3200000000002"/>
    <n v="0.5464367266806418"/>
    <x v="1"/>
    <s v="Aug"/>
    <n v="2024"/>
  </r>
  <r>
    <n v="100226"/>
    <x v="187"/>
    <x v="13"/>
    <s v="P0078"/>
    <x v="3"/>
    <n v="3"/>
    <n v="3687.82"/>
    <n v="25"/>
    <x v="2"/>
    <n v="2366.08"/>
    <x v="0"/>
    <s v="Cash"/>
    <n v="7098.24"/>
    <n v="8297.5950000000012"/>
    <n v="1199.3550000000014"/>
    <n v="0.14454248490074548"/>
    <x v="0"/>
    <s v="Mar"/>
    <n v="2023"/>
  </r>
  <r>
    <n v="100227"/>
    <x v="188"/>
    <x v="44"/>
    <s v="P0165"/>
    <x v="0"/>
    <n v="4"/>
    <n v="4321.7700000000004"/>
    <n v="0"/>
    <x v="0"/>
    <n v="2805.11"/>
    <x v="1"/>
    <s v="NetBanking"/>
    <n v="11220.44"/>
    <n v="17287.080000000002"/>
    <n v="6066.6400000000012"/>
    <n v="0.35093491786929898"/>
    <x v="0"/>
    <s v="Mar"/>
    <n v="2024"/>
  </r>
  <r>
    <n v="100228"/>
    <x v="189"/>
    <x v="28"/>
    <s v="P0074"/>
    <x v="1"/>
    <n v="2"/>
    <n v="1263.43"/>
    <n v="10"/>
    <x v="0"/>
    <n v="616.48"/>
    <x v="0"/>
    <s v="UPI"/>
    <n v="1232.96"/>
    <n v="2274.174"/>
    <n v="1041.2139999999999"/>
    <n v="0.4578427156409316"/>
    <x v="1"/>
    <s v="Jan"/>
    <n v="2023"/>
  </r>
  <r>
    <n v="100229"/>
    <x v="190"/>
    <x v="38"/>
    <s v="P0125"/>
    <x v="5"/>
    <n v="3"/>
    <n v="3758.75"/>
    <n v="30"/>
    <x v="2"/>
    <n v="2459.87"/>
    <x v="0"/>
    <s v="Digital"/>
    <n v="7379.61"/>
    <n v="7893.3749999999991"/>
    <n v="513.76499999999942"/>
    <n v="6.5088127702028528E-2"/>
    <x v="1"/>
    <s v="Sep"/>
    <n v="2024"/>
  </r>
  <r>
    <n v="100230"/>
    <x v="191"/>
    <x v="18"/>
    <s v="P0129"/>
    <x v="0"/>
    <n v="3"/>
    <n v="3040.3"/>
    <n v="30"/>
    <x v="2"/>
    <n v="1600.5"/>
    <x v="2"/>
    <s v="NetBanking"/>
    <n v="4801.5"/>
    <n v="6384.630000000001"/>
    <n v="1583.130000000001"/>
    <n v="0.2479595528636743"/>
    <x v="0"/>
    <s v="May"/>
    <n v="2024"/>
  </r>
  <r>
    <n v="100231"/>
    <x v="3"/>
    <x v="34"/>
    <s v="P0195"/>
    <x v="5"/>
    <n v="3"/>
    <n v="3236.38"/>
    <n v="0"/>
    <x v="0"/>
    <n v="1620.65"/>
    <x v="1"/>
    <s v="UPI"/>
    <n v="4861.9500000000007"/>
    <n v="9709.14"/>
    <n v="4847.1899999999987"/>
    <n v="0.49923989148369463"/>
    <x v="1"/>
    <s v="Jan"/>
    <n v="2024"/>
  </r>
  <r>
    <n v="100232"/>
    <x v="192"/>
    <x v="20"/>
    <s v="P0137"/>
    <x v="5"/>
    <n v="3"/>
    <n v="460.87"/>
    <n v="15"/>
    <x v="1"/>
    <n v="299.2"/>
    <x v="0"/>
    <s v="Cash"/>
    <n v="897.59999999999991"/>
    <n v="1175.2185000000002"/>
    <n v="277.61850000000027"/>
    <n v="0.2362271356347779"/>
    <x v="0"/>
    <s v="Sep"/>
    <n v="2023"/>
  </r>
  <r>
    <n v="100233"/>
    <x v="193"/>
    <x v="45"/>
    <s v="P0086"/>
    <x v="2"/>
    <n v="2"/>
    <n v="4347.0200000000004"/>
    <n v="5"/>
    <x v="0"/>
    <n v="2025.07"/>
    <x v="2"/>
    <s v="UPI"/>
    <n v="4050.14"/>
    <n v="8259.3379999999997"/>
    <n v="4209.1980000000003"/>
    <n v="0.50962897994972489"/>
    <x v="0"/>
    <s v="May"/>
    <n v="2024"/>
  </r>
  <r>
    <n v="100234"/>
    <x v="194"/>
    <x v="36"/>
    <s v="P0059"/>
    <x v="4"/>
    <n v="4"/>
    <n v="958.53"/>
    <n v="0"/>
    <x v="0"/>
    <n v="633.15"/>
    <x v="1"/>
    <s v="UPI"/>
    <n v="2532.6"/>
    <n v="3834.12"/>
    <n v="1301.52"/>
    <n v="0.33945729398140906"/>
    <x v="0"/>
    <s v="Sep"/>
    <n v="2024"/>
  </r>
  <r>
    <n v="100235"/>
    <x v="195"/>
    <x v="21"/>
    <s v="P0014"/>
    <x v="1"/>
    <n v="2"/>
    <n v="2514.0100000000002"/>
    <n v="25"/>
    <x v="2"/>
    <n v="1142.95"/>
    <x v="1"/>
    <s v="Card"/>
    <n v="2285.9"/>
    <n v="3771.0150000000003"/>
    <n v="1485.1150000000002"/>
    <n v="0.39382367877083496"/>
    <x v="0"/>
    <s v="Apr"/>
    <n v="2023"/>
  </r>
  <r>
    <n v="100236"/>
    <x v="196"/>
    <x v="11"/>
    <s v="P0022"/>
    <x v="0"/>
    <n v="1"/>
    <n v="2845.68"/>
    <n v="30"/>
    <x v="2"/>
    <n v="1679.07"/>
    <x v="1"/>
    <s v="Card"/>
    <n v="1679.07"/>
    <n v="1991.9759999999997"/>
    <n v="312.90599999999972"/>
    <n v="0.15708321787009472"/>
    <x v="0"/>
    <s v="Dec"/>
    <n v="2023"/>
  </r>
  <r>
    <n v="100237"/>
    <x v="172"/>
    <x v="8"/>
    <s v="P0109"/>
    <x v="6"/>
    <n v="3"/>
    <n v="2282.0100000000002"/>
    <n v="10"/>
    <x v="0"/>
    <n v="1003.36"/>
    <x v="0"/>
    <s v="Digital"/>
    <n v="3010.08"/>
    <n v="6161.4270000000006"/>
    <n v="3151.3470000000007"/>
    <n v="0.51146382161145465"/>
    <x v="1"/>
    <s v="Jan"/>
    <n v="2023"/>
  </r>
  <r>
    <n v="100238"/>
    <x v="197"/>
    <x v="31"/>
    <s v="P0128"/>
    <x v="6"/>
    <n v="2"/>
    <n v="1579.84"/>
    <n v="15"/>
    <x v="1"/>
    <n v="640.65"/>
    <x v="1"/>
    <s v="Card"/>
    <n v="1281.3"/>
    <n v="2685.7279999999996"/>
    <n v="1404.4279999999997"/>
    <n v="0.52292264890562257"/>
    <x v="0"/>
    <s v="May"/>
    <n v="2023"/>
  </r>
  <r>
    <n v="100239"/>
    <x v="198"/>
    <x v="22"/>
    <s v="P0017"/>
    <x v="4"/>
    <n v="1"/>
    <n v="4130.76"/>
    <n v="0"/>
    <x v="0"/>
    <n v="2269.5500000000002"/>
    <x v="0"/>
    <s v="UPI"/>
    <n v="2269.5500000000002"/>
    <n v="4130.76"/>
    <n v="1861.21"/>
    <n v="0.45057326012646581"/>
    <x v="0"/>
    <s v="Feb"/>
    <n v="2023"/>
  </r>
  <r>
    <n v="100240"/>
    <x v="199"/>
    <x v="32"/>
    <s v="P0117"/>
    <x v="4"/>
    <n v="1"/>
    <n v="3361.68"/>
    <n v="0"/>
    <x v="0"/>
    <n v="2181.4699999999998"/>
    <x v="2"/>
    <s v="Digital"/>
    <n v="2181.4699999999998"/>
    <n v="3361.68"/>
    <n v="1180.21"/>
    <n v="0.35107743747174036"/>
    <x v="0"/>
    <s v="Aug"/>
    <n v="2024"/>
  </r>
  <r>
    <n v="100241"/>
    <x v="200"/>
    <x v="28"/>
    <s v="P0134"/>
    <x v="1"/>
    <n v="2"/>
    <n v="958.09"/>
    <n v="10"/>
    <x v="0"/>
    <n v="459.03"/>
    <x v="0"/>
    <s v="Digital"/>
    <n v="918.06"/>
    <n v="1724.5620000000001"/>
    <n v="806.50200000000018"/>
    <n v="0.46765613529696243"/>
    <x v="1"/>
    <s v="Oct"/>
    <n v="2023"/>
  </r>
  <r>
    <n v="100242"/>
    <x v="10"/>
    <x v="22"/>
    <s v="P0138"/>
    <x v="1"/>
    <n v="3"/>
    <n v="3107.84"/>
    <n v="20"/>
    <x v="1"/>
    <n v="1803.03"/>
    <x v="2"/>
    <s v="UPI"/>
    <n v="5409.09"/>
    <n v="7458.8160000000007"/>
    <n v="2049.7260000000006"/>
    <n v="0.27480581368410217"/>
    <x v="1"/>
    <s v="Mar"/>
    <n v="2024"/>
  </r>
  <r>
    <n v="100243"/>
    <x v="201"/>
    <x v="47"/>
    <s v="P0122"/>
    <x v="2"/>
    <n v="1"/>
    <n v="4239.1000000000004"/>
    <n v="0"/>
    <x v="0"/>
    <n v="2209.9"/>
    <x v="0"/>
    <s v="NetBanking"/>
    <n v="2209.9"/>
    <n v="4239.1000000000004"/>
    <n v="2029.2000000000003"/>
    <n v="0.47868651364676468"/>
    <x v="0"/>
    <s v="Dec"/>
    <n v="2024"/>
  </r>
  <r>
    <n v="100244"/>
    <x v="202"/>
    <x v="27"/>
    <s v="P0193"/>
    <x v="1"/>
    <n v="2"/>
    <n v="520.74"/>
    <n v="5"/>
    <x v="0"/>
    <n v="234.27"/>
    <x v="2"/>
    <s v="UPI"/>
    <n v="468.54"/>
    <n v="989.40599999999995"/>
    <n v="520.86599999999999"/>
    <n v="0.52644313861043901"/>
    <x v="0"/>
    <s v="Dec"/>
    <n v="2023"/>
  </r>
  <r>
    <n v="100245"/>
    <x v="172"/>
    <x v="15"/>
    <s v="P0149"/>
    <x v="4"/>
    <n v="3"/>
    <n v="724.58"/>
    <n v="20"/>
    <x v="1"/>
    <n v="457.42"/>
    <x v="1"/>
    <s v="NetBanking"/>
    <n v="1372.26"/>
    <n v="1738.9920000000002"/>
    <n v="366.7320000000002"/>
    <n v="0.21088768665985821"/>
    <x v="1"/>
    <s v="Jan"/>
    <n v="2023"/>
  </r>
  <r>
    <n v="100246"/>
    <x v="35"/>
    <x v="44"/>
    <s v="P0187"/>
    <x v="6"/>
    <n v="3"/>
    <n v="1656.86"/>
    <n v="20"/>
    <x v="1"/>
    <n v="839.53"/>
    <x v="2"/>
    <s v="Cash"/>
    <n v="2518.59"/>
    <n v="3976.4639999999999"/>
    <n v="1457.8739999999998"/>
    <n v="0.36662572577043318"/>
    <x v="1"/>
    <s v="Apr"/>
    <n v="2023"/>
  </r>
  <r>
    <n v="100247"/>
    <x v="203"/>
    <x v="48"/>
    <s v="P0111"/>
    <x v="3"/>
    <n v="3"/>
    <n v="3168.9"/>
    <n v="0"/>
    <x v="0"/>
    <n v="2170.04"/>
    <x v="1"/>
    <s v="Digital"/>
    <n v="6510.12"/>
    <n v="9506.7000000000007"/>
    <n v="2996.5800000000008"/>
    <n v="0.3152071696803308"/>
    <x v="0"/>
    <s v="Feb"/>
    <n v="2023"/>
  </r>
  <r>
    <n v="100248"/>
    <x v="204"/>
    <x v="5"/>
    <s v="P0036"/>
    <x v="0"/>
    <n v="4"/>
    <n v="4703.1000000000004"/>
    <n v="25"/>
    <x v="2"/>
    <n v="2914.85"/>
    <x v="1"/>
    <s v="Digital"/>
    <n v="11659.4"/>
    <n v="14109.300000000001"/>
    <n v="2449.9000000000015"/>
    <n v="0.17363724635524097"/>
    <x v="0"/>
    <s v="Oct"/>
    <n v="2023"/>
  </r>
  <r>
    <n v="100249"/>
    <x v="205"/>
    <x v="17"/>
    <s v="P0081"/>
    <x v="3"/>
    <n v="3"/>
    <n v="1532.64"/>
    <n v="20"/>
    <x v="1"/>
    <n v="886.67"/>
    <x v="2"/>
    <s v="Card"/>
    <n v="2660.0099999999998"/>
    <n v="3678.3360000000002"/>
    <n v="1018.3260000000005"/>
    <n v="0.27684420346591515"/>
    <x v="1"/>
    <s v="May"/>
    <n v="2024"/>
  </r>
  <r>
    <n v="100250"/>
    <x v="206"/>
    <x v="22"/>
    <s v="P0154"/>
    <x v="0"/>
    <n v="2"/>
    <n v="4789.6099999999997"/>
    <n v="5"/>
    <x v="0"/>
    <n v="2138.09"/>
    <x v="1"/>
    <s v="UPI"/>
    <n v="4276.18"/>
    <n v="9100.2589999999982"/>
    <n v="4824.0789999999979"/>
    <n v="0.53010348386787665"/>
    <x v="0"/>
    <s v="Jul"/>
    <n v="2023"/>
  </r>
  <r>
    <n v="100251"/>
    <x v="207"/>
    <x v="36"/>
    <s v="P0129"/>
    <x v="6"/>
    <n v="2"/>
    <n v="801.01"/>
    <n v="0"/>
    <x v="0"/>
    <n v="338.46"/>
    <x v="0"/>
    <s v="Card"/>
    <n v="676.92"/>
    <n v="1602.02"/>
    <n v="925.1"/>
    <n v="0.5774584586958964"/>
    <x v="0"/>
    <s v="Jan"/>
    <n v="2023"/>
  </r>
  <r>
    <n v="100252"/>
    <x v="144"/>
    <x v="48"/>
    <s v="P0039"/>
    <x v="4"/>
    <n v="1"/>
    <n v="3613.15"/>
    <n v="5"/>
    <x v="0"/>
    <n v="2093.77"/>
    <x v="2"/>
    <s v="NetBanking"/>
    <n v="2093.77"/>
    <n v="3432.4924999999998"/>
    <n v="1338.7224999999999"/>
    <n v="0.39001469049094789"/>
    <x v="0"/>
    <s v="Jan"/>
    <n v="2023"/>
  </r>
  <r>
    <n v="100253"/>
    <x v="208"/>
    <x v="41"/>
    <s v="P0179"/>
    <x v="2"/>
    <n v="3"/>
    <n v="4149.78"/>
    <n v="10"/>
    <x v="0"/>
    <n v="2655.13"/>
    <x v="2"/>
    <s v="UPI"/>
    <n v="7965.39"/>
    <n v="11204.406000000001"/>
    <n v="3239.0160000000005"/>
    <n v="0.28908413350962114"/>
    <x v="0"/>
    <s v="Jun"/>
    <n v="2023"/>
  </r>
  <r>
    <n v="100254"/>
    <x v="22"/>
    <x v="14"/>
    <s v="P0044"/>
    <x v="4"/>
    <n v="2"/>
    <n v="324.69"/>
    <n v="20"/>
    <x v="1"/>
    <n v="139.91999999999999"/>
    <x v="0"/>
    <s v="UPI"/>
    <n v="279.83999999999997"/>
    <n v="519.50400000000002"/>
    <n v="239.66400000000004"/>
    <n v="0.46133234777788051"/>
    <x v="0"/>
    <s v="Sep"/>
    <n v="2024"/>
  </r>
  <r>
    <n v="100255"/>
    <x v="209"/>
    <x v="33"/>
    <s v="P0057"/>
    <x v="1"/>
    <n v="3"/>
    <n v="4611.37"/>
    <n v="25"/>
    <x v="2"/>
    <n v="2033.82"/>
    <x v="1"/>
    <s v="Card"/>
    <n v="6101.46"/>
    <n v="10375.5825"/>
    <n v="4274.1225000000004"/>
    <n v="0.41194048623294166"/>
    <x v="1"/>
    <s v="Nov"/>
    <n v="2023"/>
  </r>
  <r>
    <n v="100256"/>
    <x v="210"/>
    <x v="17"/>
    <s v="P0083"/>
    <x v="0"/>
    <n v="3"/>
    <n v="2750.11"/>
    <n v="15"/>
    <x v="1"/>
    <n v="1171.58"/>
    <x v="2"/>
    <s v="NetBanking"/>
    <n v="3514.74"/>
    <n v="7012.7804999999998"/>
    <n v="3498.0405000000001"/>
    <n v="0.4988093524387367"/>
    <x v="0"/>
    <s v="Aug"/>
    <n v="2024"/>
  </r>
  <r>
    <n v="100257"/>
    <x v="7"/>
    <x v="8"/>
    <s v="P0118"/>
    <x v="3"/>
    <n v="4"/>
    <n v="3303.06"/>
    <n v="25"/>
    <x v="2"/>
    <n v="2073.37"/>
    <x v="0"/>
    <s v="Cash"/>
    <n v="8293.48"/>
    <n v="9909.18"/>
    <n v="1615.7000000000007"/>
    <n v="0.16305082761641232"/>
    <x v="0"/>
    <s v="Apr"/>
    <n v="2024"/>
  </r>
  <r>
    <n v="100258"/>
    <x v="211"/>
    <x v="16"/>
    <s v="P0012"/>
    <x v="5"/>
    <n v="4"/>
    <n v="4291.22"/>
    <n v="20"/>
    <x v="1"/>
    <n v="2037.9"/>
    <x v="0"/>
    <s v="UPI"/>
    <n v="8151.6"/>
    <n v="13731.904000000002"/>
    <n v="5580.3040000000019"/>
    <n v="0.40637511010854727"/>
    <x v="0"/>
    <s v="Mar"/>
    <n v="2023"/>
  </r>
  <r>
    <n v="100259"/>
    <x v="212"/>
    <x v="2"/>
    <s v="P0047"/>
    <x v="1"/>
    <n v="3"/>
    <n v="3557.92"/>
    <n v="20"/>
    <x v="1"/>
    <n v="1478.24"/>
    <x v="2"/>
    <s v="UPI"/>
    <n v="4434.72"/>
    <n v="8539.0079999999998"/>
    <n v="4104.2879999999996"/>
    <n v="0.48065161667491113"/>
    <x v="0"/>
    <s v="Jun"/>
    <n v="2024"/>
  </r>
  <r>
    <n v="100260"/>
    <x v="143"/>
    <x v="17"/>
    <s v="P0135"/>
    <x v="2"/>
    <n v="4"/>
    <n v="3616.2"/>
    <n v="5"/>
    <x v="0"/>
    <n v="2450.2399999999998"/>
    <x v="0"/>
    <s v="Cash"/>
    <n v="9800.9599999999991"/>
    <n v="13741.56"/>
    <n v="3940.6000000000004"/>
    <n v="0.28676511254908471"/>
    <x v="0"/>
    <s v="Mar"/>
    <n v="2023"/>
  </r>
  <r>
    <n v="100261"/>
    <x v="213"/>
    <x v="34"/>
    <s v="P0072"/>
    <x v="2"/>
    <n v="2"/>
    <n v="866.46"/>
    <n v="25"/>
    <x v="2"/>
    <n v="536.6"/>
    <x v="2"/>
    <s v="Cash"/>
    <n v="1073.2"/>
    <n v="1299.69"/>
    <n v="226.49"/>
    <n v="0.17426463233540307"/>
    <x v="0"/>
    <s v="Nov"/>
    <n v="2024"/>
  </r>
  <r>
    <n v="100262"/>
    <x v="214"/>
    <x v="15"/>
    <s v="P0116"/>
    <x v="4"/>
    <n v="2"/>
    <n v="2282.2800000000002"/>
    <n v="0"/>
    <x v="0"/>
    <n v="1457.47"/>
    <x v="2"/>
    <s v="NetBanking"/>
    <n v="2914.94"/>
    <n v="4564.5600000000004"/>
    <n v="1649.6200000000003"/>
    <n v="0.36139737455526932"/>
    <x v="0"/>
    <s v="Aug"/>
    <n v="2023"/>
  </r>
  <r>
    <n v="100263"/>
    <x v="215"/>
    <x v="1"/>
    <s v="P0017"/>
    <x v="5"/>
    <n v="3"/>
    <n v="2439.1799999999998"/>
    <n v="5"/>
    <x v="0"/>
    <n v="1357.97"/>
    <x v="1"/>
    <s v="UPI"/>
    <n v="4073.91"/>
    <n v="6951.6629999999986"/>
    <n v="2877.7529999999988"/>
    <n v="0.41396612580327891"/>
    <x v="0"/>
    <s v="Sep"/>
    <n v="2024"/>
  </r>
  <r>
    <n v="100264"/>
    <x v="216"/>
    <x v="33"/>
    <s v="P0045"/>
    <x v="5"/>
    <n v="2"/>
    <n v="3102.47"/>
    <n v="0"/>
    <x v="0"/>
    <n v="1455.07"/>
    <x v="1"/>
    <s v="Digital"/>
    <n v="2910.14"/>
    <n v="6204.94"/>
    <n v="3294.7999999999997"/>
    <n v="0.53099627071333488"/>
    <x v="0"/>
    <s v="Jul"/>
    <n v="2023"/>
  </r>
  <r>
    <n v="100265"/>
    <x v="217"/>
    <x v="10"/>
    <s v="P0108"/>
    <x v="1"/>
    <n v="2"/>
    <n v="4459.49"/>
    <n v="10"/>
    <x v="0"/>
    <n v="2493.21"/>
    <x v="0"/>
    <s v="Digital"/>
    <n v="4986.42"/>
    <n v="8027.0819999999994"/>
    <n v="3040.6619999999994"/>
    <n v="0.37880041589210123"/>
    <x v="1"/>
    <s v="Jul"/>
    <n v="2023"/>
  </r>
  <r>
    <n v="100266"/>
    <x v="157"/>
    <x v="2"/>
    <s v="P0153"/>
    <x v="0"/>
    <n v="3"/>
    <n v="1781.86"/>
    <n v="30"/>
    <x v="2"/>
    <n v="1001.13"/>
    <x v="2"/>
    <s v="Card"/>
    <n v="3003.39"/>
    <n v="3741.9059999999995"/>
    <n v="738.51599999999962"/>
    <n v="0.19736358957173156"/>
    <x v="0"/>
    <s v="Dec"/>
    <n v="2023"/>
  </r>
  <r>
    <n v="100267"/>
    <x v="218"/>
    <x v="38"/>
    <s v="P0108"/>
    <x v="5"/>
    <n v="1"/>
    <n v="3241.69"/>
    <n v="30"/>
    <x v="2"/>
    <n v="2158.3000000000002"/>
    <x v="0"/>
    <s v="Digital"/>
    <n v="2158.3000000000002"/>
    <n v="2269.183"/>
    <n v="110.88299999999981"/>
    <n v="4.8864723559095859E-2"/>
    <x v="0"/>
    <s v="Mar"/>
    <n v="2024"/>
  </r>
  <r>
    <n v="100268"/>
    <x v="219"/>
    <x v="7"/>
    <s v="P0158"/>
    <x v="5"/>
    <n v="2"/>
    <n v="2262.2800000000002"/>
    <n v="30"/>
    <x v="2"/>
    <n v="1218.43"/>
    <x v="2"/>
    <s v="UPI"/>
    <n v="2436.86"/>
    <n v="3167.192"/>
    <n v="730.33199999999988"/>
    <n v="0.23059290374565225"/>
    <x v="1"/>
    <s v="Jun"/>
    <n v="2024"/>
  </r>
  <r>
    <n v="100269"/>
    <x v="220"/>
    <x v="45"/>
    <s v="P0096"/>
    <x v="1"/>
    <n v="3"/>
    <n v="4411.1000000000004"/>
    <n v="15"/>
    <x v="1"/>
    <n v="2464.4"/>
    <x v="1"/>
    <s v="UPI"/>
    <n v="7393.2000000000007"/>
    <n v="11248.305"/>
    <n v="3855.1049999999996"/>
    <n v="0.34272763763073633"/>
    <x v="0"/>
    <s v="Feb"/>
    <n v="2024"/>
  </r>
  <r>
    <n v="100270"/>
    <x v="172"/>
    <x v="17"/>
    <s v="P0190"/>
    <x v="4"/>
    <n v="3"/>
    <n v="629.14"/>
    <n v="5"/>
    <x v="0"/>
    <n v="253.45"/>
    <x v="2"/>
    <s v="UPI"/>
    <n v="760.34999999999991"/>
    <n v="1793.049"/>
    <n v="1032.6990000000001"/>
    <n v="0.57594577727658314"/>
    <x v="1"/>
    <s v="Jan"/>
    <n v="2023"/>
  </r>
  <r>
    <n v="100271"/>
    <x v="221"/>
    <x v="19"/>
    <s v="P0016"/>
    <x v="4"/>
    <n v="1"/>
    <n v="2189.08"/>
    <n v="0"/>
    <x v="0"/>
    <n v="1190.78"/>
    <x v="1"/>
    <s v="Cash"/>
    <n v="1190.78"/>
    <n v="2189.08"/>
    <n v="998.3"/>
    <n v="0.45603632576242076"/>
    <x v="0"/>
    <s v="Nov"/>
    <n v="2024"/>
  </r>
  <r>
    <n v="100272"/>
    <x v="196"/>
    <x v="8"/>
    <s v="P0084"/>
    <x v="0"/>
    <n v="4"/>
    <n v="1576.93"/>
    <n v="0"/>
    <x v="0"/>
    <n v="819.19"/>
    <x v="1"/>
    <s v="Digital"/>
    <n v="3276.76"/>
    <n v="6307.72"/>
    <n v="3030.96"/>
    <n v="0.4805159391983157"/>
    <x v="0"/>
    <s v="Dec"/>
    <n v="2023"/>
  </r>
  <r>
    <n v="100273"/>
    <x v="222"/>
    <x v="30"/>
    <s v="P0142"/>
    <x v="3"/>
    <n v="1"/>
    <n v="3741.68"/>
    <n v="0"/>
    <x v="0"/>
    <n v="1500.43"/>
    <x v="0"/>
    <s v="Card"/>
    <n v="1500.43"/>
    <n v="3741.68"/>
    <n v="2241.25"/>
    <n v="0.59899563832289238"/>
    <x v="0"/>
    <s v="Mar"/>
    <n v="2024"/>
  </r>
  <r>
    <n v="100274"/>
    <x v="223"/>
    <x v="11"/>
    <s v="P0153"/>
    <x v="2"/>
    <n v="4"/>
    <n v="1650.02"/>
    <n v="10"/>
    <x v="0"/>
    <n v="806.68"/>
    <x v="1"/>
    <s v="Digital"/>
    <n v="3226.72"/>
    <n v="5940.0720000000001"/>
    <n v="2713.3520000000003"/>
    <n v="0.45678772917230637"/>
    <x v="0"/>
    <s v="Oct"/>
    <n v="2023"/>
  </r>
  <r>
    <n v="100275"/>
    <x v="224"/>
    <x v="2"/>
    <s v="P0143"/>
    <x v="2"/>
    <n v="4"/>
    <n v="384.01"/>
    <n v="15"/>
    <x v="1"/>
    <n v="267.39"/>
    <x v="1"/>
    <s v="UPI"/>
    <n v="1069.56"/>
    <n v="1305.634"/>
    <n v="236.07400000000007"/>
    <n v="0.18081177420318409"/>
    <x v="0"/>
    <s v="Aug"/>
    <n v="2024"/>
  </r>
  <r>
    <n v="100276"/>
    <x v="225"/>
    <x v="9"/>
    <s v="P0037"/>
    <x v="5"/>
    <n v="1"/>
    <n v="2140.66"/>
    <n v="10"/>
    <x v="0"/>
    <n v="936.18"/>
    <x v="0"/>
    <s v="Card"/>
    <n v="936.18"/>
    <n v="1926.5939999999998"/>
    <n v="990.41399999999987"/>
    <n v="0.51407509833415865"/>
    <x v="0"/>
    <s v="Jul"/>
    <n v="2023"/>
  </r>
  <r>
    <n v="100277"/>
    <x v="226"/>
    <x v="16"/>
    <s v="P0063"/>
    <x v="4"/>
    <n v="1"/>
    <n v="1517.22"/>
    <n v="10"/>
    <x v="0"/>
    <n v="874.78"/>
    <x v="1"/>
    <s v="Cash"/>
    <n v="874.78"/>
    <n v="1365.498"/>
    <n v="490.71800000000007"/>
    <n v="0.35936925575870493"/>
    <x v="0"/>
    <s v="Mar"/>
    <n v="2024"/>
  </r>
  <r>
    <n v="100278"/>
    <x v="227"/>
    <x v="1"/>
    <s v="P0153"/>
    <x v="5"/>
    <n v="2"/>
    <n v="3123.75"/>
    <n v="0"/>
    <x v="0"/>
    <n v="2096.4"/>
    <x v="0"/>
    <s v="Card"/>
    <n v="4192.8"/>
    <n v="6247.5"/>
    <n v="2054.6999999999998"/>
    <n v="0.32888355342136849"/>
    <x v="0"/>
    <s v="Aug"/>
    <n v="2023"/>
  </r>
  <r>
    <n v="100279"/>
    <x v="41"/>
    <x v="0"/>
    <s v="P0093"/>
    <x v="2"/>
    <n v="3"/>
    <n v="4958.49"/>
    <n v="25"/>
    <x v="2"/>
    <n v="2328.02"/>
    <x v="0"/>
    <s v="Cash"/>
    <n v="6984.0599999999995"/>
    <n v="11156.602499999999"/>
    <n v="4172.5424999999996"/>
    <n v="0.37399759469784821"/>
    <x v="0"/>
    <s v="Oct"/>
    <n v="2024"/>
  </r>
  <r>
    <n v="100280"/>
    <x v="228"/>
    <x v="20"/>
    <s v="P0074"/>
    <x v="1"/>
    <n v="3"/>
    <n v="1383.68"/>
    <n v="10"/>
    <x v="0"/>
    <n v="898.28"/>
    <x v="2"/>
    <s v="Cash"/>
    <n v="2694.84"/>
    <n v="3735.9360000000001"/>
    <n v="1041.096"/>
    <n v="0.27867072669339088"/>
    <x v="0"/>
    <s v="Jan"/>
    <n v="2024"/>
  </r>
  <r>
    <n v="100281"/>
    <x v="193"/>
    <x v="42"/>
    <s v="P0003"/>
    <x v="1"/>
    <n v="3"/>
    <n v="1129.68"/>
    <n v="5"/>
    <x v="0"/>
    <n v="526.6"/>
    <x v="0"/>
    <s v="Digital"/>
    <n v="1579.8000000000002"/>
    <n v="3219.5879999999997"/>
    <n v="1639.7879999999996"/>
    <n v="0.50931609883003659"/>
    <x v="0"/>
    <s v="May"/>
    <n v="2024"/>
  </r>
  <r>
    <n v="100282"/>
    <x v="68"/>
    <x v="45"/>
    <s v="P0177"/>
    <x v="6"/>
    <n v="4"/>
    <n v="1945.59"/>
    <n v="5"/>
    <x v="0"/>
    <n v="812"/>
    <x v="1"/>
    <s v="Digital"/>
    <n v="3248"/>
    <n v="7393.2419999999993"/>
    <n v="4145.2419999999993"/>
    <n v="0.56067987494525406"/>
    <x v="0"/>
    <s v="Feb"/>
    <n v="2023"/>
  </r>
  <r>
    <n v="100283"/>
    <x v="229"/>
    <x v="39"/>
    <s v="P0123"/>
    <x v="3"/>
    <n v="1"/>
    <n v="4660.4399999999996"/>
    <n v="0"/>
    <x v="0"/>
    <n v="3255.19"/>
    <x v="2"/>
    <s v="Digital"/>
    <n v="3255.19"/>
    <n v="4660.4399999999996"/>
    <n v="1405.2499999999995"/>
    <n v="0.30152732360034668"/>
    <x v="0"/>
    <s v="Jul"/>
    <n v="2024"/>
  </r>
  <r>
    <n v="100284"/>
    <x v="230"/>
    <x v="32"/>
    <s v="P0003"/>
    <x v="0"/>
    <n v="2"/>
    <n v="2721.67"/>
    <n v="20"/>
    <x v="1"/>
    <n v="1489.72"/>
    <x v="1"/>
    <s v="Cash"/>
    <n v="2979.44"/>
    <n v="4354.6720000000005"/>
    <n v="1375.2320000000004"/>
    <n v="0.31580610434034995"/>
    <x v="0"/>
    <s v="May"/>
    <n v="2023"/>
  </r>
  <r>
    <n v="100285"/>
    <x v="211"/>
    <x v="19"/>
    <s v="P0073"/>
    <x v="1"/>
    <n v="4"/>
    <n v="2477.89"/>
    <n v="0"/>
    <x v="0"/>
    <n v="1454.23"/>
    <x v="2"/>
    <s v="Cash"/>
    <n v="5816.92"/>
    <n v="9911.56"/>
    <n v="4094.6399999999994"/>
    <n v="0.41311761216196036"/>
    <x v="0"/>
    <s v="Mar"/>
    <n v="2023"/>
  </r>
  <r>
    <n v="100286"/>
    <x v="231"/>
    <x v="40"/>
    <s v="P0184"/>
    <x v="1"/>
    <n v="4"/>
    <n v="3026.41"/>
    <n v="0"/>
    <x v="0"/>
    <n v="1293.6300000000001"/>
    <x v="1"/>
    <s v="Cash"/>
    <n v="5174.5200000000004"/>
    <n v="12105.64"/>
    <n v="6931.119999999999"/>
    <n v="0.57255295878615253"/>
    <x v="1"/>
    <s v="Sep"/>
    <n v="2024"/>
  </r>
  <r>
    <n v="100287"/>
    <x v="232"/>
    <x v="9"/>
    <s v="P0153"/>
    <x v="2"/>
    <n v="3"/>
    <n v="1582.91"/>
    <n v="25"/>
    <x v="2"/>
    <n v="859.52"/>
    <x v="1"/>
    <s v="Card"/>
    <n v="2578.56"/>
    <n v="3561.5475000000006"/>
    <n v="982.98750000000064"/>
    <n v="0.276000109502962"/>
    <x v="0"/>
    <s v="Jul"/>
    <n v="2023"/>
  </r>
  <r>
    <n v="100288"/>
    <x v="233"/>
    <x v="34"/>
    <s v="P0025"/>
    <x v="0"/>
    <n v="2"/>
    <n v="4352"/>
    <n v="20"/>
    <x v="1"/>
    <n v="2797.7"/>
    <x v="2"/>
    <s v="Digital"/>
    <n v="5595.4"/>
    <n v="6963.2000000000007"/>
    <n v="1367.8000000000011"/>
    <n v="0.19643267463235309"/>
    <x v="0"/>
    <s v="Feb"/>
    <n v="2023"/>
  </r>
  <r>
    <n v="100289"/>
    <x v="234"/>
    <x v="10"/>
    <s v="P0038"/>
    <x v="6"/>
    <n v="1"/>
    <n v="3755.5"/>
    <n v="25"/>
    <x v="2"/>
    <n v="1819.23"/>
    <x v="2"/>
    <s v="UPI"/>
    <n v="1819.23"/>
    <n v="2816.625"/>
    <n v="997.39499999999998"/>
    <n v="0.35410997204100653"/>
    <x v="0"/>
    <s v="May"/>
    <n v="2023"/>
  </r>
  <r>
    <n v="100290"/>
    <x v="235"/>
    <x v="25"/>
    <s v="P0037"/>
    <x v="6"/>
    <n v="4"/>
    <n v="3569.86"/>
    <n v="0"/>
    <x v="0"/>
    <n v="1480.19"/>
    <x v="0"/>
    <s v="Cash"/>
    <n v="5920.76"/>
    <n v="14279.44"/>
    <n v="8358.68"/>
    <n v="0.58536469217280229"/>
    <x v="0"/>
    <s v="Mar"/>
    <n v="2024"/>
  </r>
  <r>
    <n v="100291"/>
    <x v="236"/>
    <x v="38"/>
    <s v="P0114"/>
    <x v="0"/>
    <n v="4"/>
    <n v="814.5"/>
    <n v="5"/>
    <x v="0"/>
    <n v="544.37"/>
    <x v="2"/>
    <s v="Card"/>
    <n v="2177.48"/>
    <n v="3095.1"/>
    <n v="917.61999999999989"/>
    <n v="0.29647507350327934"/>
    <x v="0"/>
    <s v="Aug"/>
    <n v="2024"/>
  </r>
  <r>
    <n v="100292"/>
    <x v="195"/>
    <x v="45"/>
    <s v="P0186"/>
    <x v="2"/>
    <n v="4"/>
    <n v="4449.66"/>
    <n v="30"/>
    <x v="2"/>
    <n v="2468.7800000000002"/>
    <x v="0"/>
    <s v="UPI"/>
    <n v="9875.1200000000008"/>
    <n v="12459.047999999999"/>
    <n v="2583.9279999999981"/>
    <n v="0.20739369492757379"/>
    <x v="0"/>
    <s v="Apr"/>
    <n v="2023"/>
  </r>
  <r>
    <n v="100293"/>
    <x v="204"/>
    <x v="19"/>
    <s v="P0006"/>
    <x v="1"/>
    <n v="3"/>
    <n v="1934.7"/>
    <n v="0"/>
    <x v="0"/>
    <n v="1167.4100000000001"/>
    <x v="2"/>
    <s v="Cash"/>
    <n v="3502.2300000000005"/>
    <n v="5804.1"/>
    <n v="2301.87"/>
    <n v="0.39659378715046256"/>
    <x v="0"/>
    <s v="Oct"/>
    <n v="2023"/>
  </r>
  <r>
    <n v="100294"/>
    <x v="237"/>
    <x v="24"/>
    <s v="P0059"/>
    <x v="4"/>
    <n v="4"/>
    <n v="4047.9"/>
    <n v="25"/>
    <x v="2"/>
    <n v="2418.7600000000002"/>
    <x v="2"/>
    <s v="UPI"/>
    <n v="9675.0400000000009"/>
    <n v="12143.7"/>
    <n v="2468.66"/>
    <n v="0.20328730123438488"/>
    <x v="0"/>
    <s v="Dec"/>
    <n v="2023"/>
  </r>
  <r>
    <n v="100295"/>
    <x v="238"/>
    <x v="26"/>
    <s v="P0089"/>
    <x v="0"/>
    <n v="3"/>
    <n v="1053.8800000000001"/>
    <n v="25"/>
    <x v="2"/>
    <n v="527.15"/>
    <x v="0"/>
    <s v="Cash"/>
    <n v="1581.4499999999998"/>
    <n v="2371.2300000000005"/>
    <n v="789.78000000000065"/>
    <n v="0.33306764843562225"/>
    <x v="0"/>
    <s v="Jul"/>
    <n v="2024"/>
  </r>
  <r>
    <n v="100296"/>
    <x v="239"/>
    <x v="8"/>
    <s v="P0188"/>
    <x v="5"/>
    <n v="1"/>
    <n v="3496.66"/>
    <n v="5"/>
    <x v="0"/>
    <n v="2047.59"/>
    <x v="0"/>
    <s v="Cash"/>
    <n v="2047.59"/>
    <n v="3321.8269999999998"/>
    <n v="1274.2369999999999"/>
    <n v="0.38359523238266169"/>
    <x v="0"/>
    <s v="Feb"/>
    <n v="2024"/>
  </r>
  <r>
    <n v="100297"/>
    <x v="240"/>
    <x v="1"/>
    <s v="P0023"/>
    <x v="6"/>
    <n v="3"/>
    <n v="4443.6899999999996"/>
    <n v="25"/>
    <x v="2"/>
    <n v="3059.01"/>
    <x v="1"/>
    <s v="Digital"/>
    <n v="9177.0300000000007"/>
    <n v="9998.3024999999998"/>
    <n v="821.27249999999913"/>
    <n v="8.2141193467591037E-2"/>
    <x v="0"/>
    <s v="Jan"/>
    <n v="2023"/>
  </r>
  <r>
    <n v="100298"/>
    <x v="181"/>
    <x v="12"/>
    <s v="P0039"/>
    <x v="5"/>
    <n v="2"/>
    <n v="905.69"/>
    <n v="25"/>
    <x v="2"/>
    <n v="453.33"/>
    <x v="0"/>
    <s v="UPI"/>
    <n v="906.66"/>
    <n v="1358.5350000000001"/>
    <n v="451.87500000000011"/>
    <n v="0.33261932890945034"/>
    <x v="0"/>
    <s v="Oct"/>
    <n v="2024"/>
  </r>
  <r>
    <n v="100299"/>
    <x v="241"/>
    <x v="39"/>
    <s v="P0012"/>
    <x v="5"/>
    <n v="3"/>
    <n v="305.26"/>
    <n v="30"/>
    <x v="2"/>
    <n v="173.04"/>
    <x v="0"/>
    <s v="Digital"/>
    <n v="519.12"/>
    <n v="641.04599999999994"/>
    <n v="121.92599999999993"/>
    <n v="0.1901985192950271"/>
    <x v="1"/>
    <s v="Aug"/>
    <n v="2024"/>
  </r>
  <r>
    <n v="100300"/>
    <x v="242"/>
    <x v="37"/>
    <s v="P0113"/>
    <x v="5"/>
    <n v="3"/>
    <n v="1207.72"/>
    <n v="20"/>
    <x v="1"/>
    <n v="513.55999999999995"/>
    <x v="2"/>
    <s v="Digital"/>
    <n v="1540.6799999999998"/>
    <n v="2898.5280000000002"/>
    <n v="1357.8480000000004"/>
    <n v="0.46846123273606477"/>
    <x v="0"/>
    <s v="Oct"/>
    <n v="2024"/>
  </r>
  <r>
    <n v="100301"/>
    <x v="243"/>
    <x v="26"/>
    <s v="P0192"/>
    <x v="0"/>
    <n v="1"/>
    <n v="3269.52"/>
    <n v="15"/>
    <x v="1"/>
    <n v="1562.64"/>
    <x v="0"/>
    <s v="Card"/>
    <n v="1562.64"/>
    <n v="2779.0920000000001"/>
    <n v="1216.452"/>
    <n v="0.43771562798208907"/>
    <x v="1"/>
    <s v="Nov"/>
    <n v="2024"/>
  </r>
  <r>
    <n v="100302"/>
    <x v="244"/>
    <x v="37"/>
    <s v="P0158"/>
    <x v="3"/>
    <n v="4"/>
    <n v="4147.79"/>
    <n v="5"/>
    <x v="0"/>
    <n v="1818.95"/>
    <x v="2"/>
    <s v="UPI"/>
    <n v="7275.8"/>
    <n v="15761.601999999999"/>
    <n v="8485.8019999999997"/>
    <n v="0.53838448655155735"/>
    <x v="0"/>
    <s v="Apr"/>
    <n v="2024"/>
  </r>
  <r>
    <n v="100303"/>
    <x v="245"/>
    <x v="6"/>
    <s v="P0060"/>
    <x v="4"/>
    <n v="3"/>
    <n v="2843.95"/>
    <n v="5"/>
    <x v="0"/>
    <n v="1959.19"/>
    <x v="2"/>
    <s v="Card"/>
    <n v="5877.57"/>
    <n v="8105.2574999999979"/>
    <n v="2227.6874999999982"/>
    <n v="0.27484475354422716"/>
    <x v="0"/>
    <s v="Feb"/>
    <n v="2024"/>
  </r>
  <r>
    <n v="100304"/>
    <x v="246"/>
    <x v="4"/>
    <s v="P0148"/>
    <x v="3"/>
    <n v="3"/>
    <n v="4680.53"/>
    <n v="30"/>
    <x v="2"/>
    <n v="2016.15"/>
    <x v="2"/>
    <s v="Digital"/>
    <n v="6048.4500000000007"/>
    <n v="9829.1129999999994"/>
    <n v="3780.6629999999986"/>
    <n v="0.38463928535565711"/>
    <x v="1"/>
    <s v="Jul"/>
    <n v="2023"/>
  </r>
  <r>
    <n v="100305"/>
    <x v="247"/>
    <x v="9"/>
    <s v="P0017"/>
    <x v="0"/>
    <n v="4"/>
    <n v="3923.01"/>
    <n v="0"/>
    <x v="0"/>
    <n v="2684.08"/>
    <x v="2"/>
    <s v="UPI"/>
    <n v="10736.32"/>
    <n v="15692.04"/>
    <n v="4955.7200000000012"/>
    <n v="0.3158110736398837"/>
    <x v="0"/>
    <s v="Jul"/>
    <n v="2023"/>
  </r>
  <r>
    <n v="100306"/>
    <x v="248"/>
    <x v="49"/>
    <s v="P0022"/>
    <x v="4"/>
    <n v="4"/>
    <n v="616.54999999999995"/>
    <n v="0"/>
    <x v="0"/>
    <n v="354.3"/>
    <x v="2"/>
    <s v="UPI"/>
    <n v="1417.2"/>
    <n v="2466.1999999999998"/>
    <n v="1048.9999999999998"/>
    <n v="0.4253507420322763"/>
    <x v="0"/>
    <s v="Dec"/>
    <n v="2024"/>
  </r>
  <r>
    <n v="100307"/>
    <x v="249"/>
    <x v="37"/>
    <s v="P0192"/>
    <x v="5"/>
    <n v="2"/>
    <n v="651.05999999999995"/>
    <n v="25"/>
    <x v="2"/>
    <n v="426.92"/>
    <x v="1"/>
    <s v="Card"/>
    <n v="853.84"/>
    <n v="976.58999999999992"/>
    <n v="122.74999999999989"/>
    <n v="0.12569246050031221"/>
    <x v="0"/>
    <s v="Sep"/>
    <n v="2023"/>
  </r>
  <r>
    <n v="100308"/>
    <x v="250"/>
    <x v="28"/>
    <s v="P0180"/>
    <x v="2"/>
    <n v="3"/>
    <n v="4853.7299999999996"/>
    <n v="30"/>
    <x v="2"/>
    <n v="3033.07"/>
    <x v="2"/>
    <s v="Cash"/>
    <n v="9099.2100000000009"/>
    <n v="10192.832999999999"/>
    <n v="1093.6229999999978"/>
    <n v="0.10729333051959135"/>
    <x v="0"/>
    <s v="Aug"/>
    <n v="2023"/>
  </r>
  <r>
    <n v="100309"/>
    <x v="20"/>
    <x v="20"/>
    <s v="P0134"/>
    <x v="6"/>
    <n v="1"/>
    <n v="2102.98"/>
    <n v="5"/>
    <x v="0"/>
    <n v="882.6"/>
    <x v="1"/>
    <s v="NetBanking"/>
    <n v="882.6"/>
    <n v="1997.8309999999999"/>
    <n v="1115.2309999999998"/>
    <n v="0.5582208905558077"/>
    <x v="0"/>
    <s v="Feb"/>
    <n v="2023"/>
  </r>
  <r>
    <n v="100310"/>
    <x v="251"/>
    <x v="32"/>
    <s v="P0026"/>
    <x v="4"/>
    <n v="3"/>
    <n v="2596.62"/>
    <n v="30"/>
    <x v="2"/>
    <n v="1638.78"/>
    <x v="1"/>
    <s v="UPI"/>
    <n v="4916.34"/>
    <n v="5452.9019999999991"/>
    <n v="536.56199999999899"/>
    <n v="9.8399347723468908E-2"/>
    <x v="0"/>
    <s v="Jul"/>
    <n v="2024"/>
  </r>
  <r>
    <n v="100311"/>
    <x v="21"/>
    <x v="39"/>
    <s v="P0141"/>
    <x v="4"/>
    <n v="2"/>
    <n v="1586.05"/>
    <n v="20"/>
    <x v="1"/>
    <n v="1108.8699999999999"/>
    <x v="2"/>
    <s v="Digital"/>
    <n v="2217.7399999999998"/>
    <n v="2537.6800000000003"/>
    <n v="319.94000000000051"/>
    <n v="0.12607578575706962"/>
    <x v="1"/>
    <s v="Apr"/>
    <n v="2023"/>
  </r>
  <r>
    <n v="100312"/>
    <x v="252"/>
    <x v="30"/>
    <s v="P0075"/>
    <x v="2"/>
    <n v="1"/>
    <n v="1069.03"/>
    <n v="5"/>
    <x v="0"/>
    <n v="682.51"/>
    <x v="1"/>
    <s v="Digital"/>
    <n v="682.51"/>
    <n v="1015.5785"/>
    <n v="333.06849999999997"/>
    <n v="0.32795938472506064"/>
    <x v="0"/>
    <s v="Jun"/>
    <n v="2023"/>
  </r>
  <r>
    <n v="100313"/>
    <x v="178"/>
    <x v="17"/>
    <s v="P0022"/>
    <x v="5"/>
    <n v="4"/>
    <n v="4247.75"/>
    <n v="0"/>
    <x v="0"/>
    <n v="2683.93"/>
    <x v="0"/>
    <s v="NetBanking"/>
    <n v="10735.72"/>
    <n v="16991"/>
    <n v="6255.2800000000007"/>
    <n v="0.36815255135071512"/>
    <x v="1"/>
    <s v="Mar"/>
    <n v="2023"/>
  </r>
  <r>
    <n v="100314"/>
    <x v="226"/>
    <x v="31"/>
    <s v="P0092"/>
    <x v="6"/>
    <n v="3"/>
    <n v="1584.32"/>
    <n v="30"/>
    <x v="2"/>
    <n v="1085.67"/>
    <x v="0"/>
    <s v="NetBanking"/>
    <n v="3257.01"/>
    <n v="3327.0719999999997"/>
    <n v="70.061999999999443"/>
    <n v="2.1058155639553173E-2"/>
    <x v="0"/>
    <s v="Mar"/>
    <n v="2024"/>
  </r>
  <r>
    <n v="100315"/>
    <x v="178"/>
    <x v="3"/>
    <s v="P0006"/>
    <x v="3"/>
    <n v="1"/>
    <n v="4734.99"/>
    <n v="20"/>
    <x v="1"/>
    <n v="2490.2199999999998"/>
    <x v="2"/>
    <s v="Cash"/>
    <n v="2490.2199999999998"/>
    <n v="3787.9920000000002"/>
    <n v="1297.7720000000004"/>
    <n v="0.34260156832432603"/>
    <x v="1"/>
    <s v="Mar"/>
    <n v="2023"/>
  </r>
  <r>
    <n v="100316"/>
    <x v="253"/>
    <x v="24"/>
    <s v="P0058"/>
    <x v="5"/>
    <n v="3"/>
    <n v="1588.81"/>
    <n v="25"/>
    <x v="2"/>
    <n v="1104.53"/>
    <x v="0"/>
    <s v="Digital"/>
    <n v="3313.59"/>
    <n v="3574.8225000000002"/>
    <n v="261.23250000000007"/>
    <n v="7.3075656203909448E-2"/>
    <x v="0"/>
    <s v="Sep"/>
    <n v="2023"/>
  </r>
  <r>
    <n v="100317"/>
    <x v="254"/>
    <x v="29"/>
    <s v="P0064"/>
    <x v="0"/>
    <n v="4"/>
    <n v="3704.79"/>
    <n v="0"/>
    <x v="0"/>
    <n v="2310.87"/>
    <x v="0"/>
    <s v="Cash"/>
    <n v="9243.48"/>
    <n v="14819.16"/>
    <n v="5575.68"/>
    <n v="0.37624804644797682"/>
    <x v="0"/>
    <s v="Jun"/>
    <n v="2023"/>
  </r>
  <r>
    <n v="100318"/>
    <x v="14"/>
    <x v="19"/>
    <s v="P0027"/>
    <x v="6"/>
    <n v="1"/>
    <n v="3362.83"/>
    <n v="15"/>
    <x v="1"/>
    <n v="1716.92"/>
    <x v="1"/>
    <s v="Cash"/>
    <n v="1716.92"/>
    <n v="2858.4054999999998"/>
    <n v="1141.4854999999998"/>
    <n v="0.39934344514800291"/>
    <x v="0"/>
    <s v="Sep"/>
    <n v="2023"/>
  </r>
  <r>
    <n v="100319"/>
    <x v="255"/>
    <x v="47"/>
    <s v="P0053"/>
    <x v="2"/>
    <n v="4"/>
    <n v="1048.45"/>
    <n v="15"/>
    <x v="1"/>
    <n v="483.45"/>
    <x v="1"/>
    <s v="UPI"/>
    <n v="1933.8"/>
    <n v="3564.73"/>
    <n v="1630.93"/>
    <n v="0.45751852173937441"/>
    <x v="0"/>
    <s v="Aug"/>
    <n v="2024"/>
  </r>
  <r>
    <n v="100320"/>
    <x v="256"/>
    <x v="18"/>
    <s v="P0131"/>
    <x v="5"/>
    <n v="4"/>
    <n v="3923.33"/>
    <n v="20"/>
    <x v="1"/>
    <n v="2563.64"/>
    <x v="1"/>
    <s v="NetBanking"/>
    <n v="10254.56"/>
    <n v="12554.656000000001"/>
    <n v="2300.0960000000014"/>
    <n v="0.18320661274988348"/>
    <x v="0"/>
    <s v="Jul"/>
    <n v="2023"/>
  </r>
  <r>
    <n v="100321"/>
    <x v="257"/>
    <x v="49"/>
    <s v="P0131"/>
    <x v="2"/>
    <n v="1"/>
    <n v="916.85"/>
    <n v="30"/>
    <x v="2"/>
    <n v="375.69"/>
    <x v="0"/>
    <s v="Digital"/>
    <n v="375.69"/>
    <n v="641.79499999999996"/>
    <n v="266.10499999999996"/>
    <n v="0.41462616567595567"/>
    <x v="1"/>
    <s v="Jan"/>
    <n v="2024"/>
  </r>
  <r>
    <n v="100322"/>
    <x v="258"/>
    <x v="25"/>
    <s v="P0199"/>
    <x v="6"/>
    <n v="4"/>
    <n v="4043.73"/>
    <n v="15"/>
    <x v="1"/>
    <n v="2201.64"/>
    <x v="2"/>
    <s v="UPI"/>
    <n v="8806.56"/>
    <n v="13748.681999999999"/>
    <n v="4942.1219999999994"/>
    <n v="0.35946151056515818"/>
    <x v="0"/>
    <s v="Jul"/>
    <n v="2023"/>
  </r>
  <r>
    <n v="100323"/>
    <x v="17"/>
    <x v="19"/>
    <s v="P0166"/>
    <x v="3"/>
    <n v="1"/>
    <n v="3154.34"/>
    <n v="5"/>
    <x v="0"/>
    <n v="1495.98"/>
    <x v="2"/>
    <s v="Cash"/>
    <n v="1495.98"/>
    <n v="2996.623"/>
    <n v="1500.643"/>
    <n v="0.50077804248315516"/>
    <x v="0"/>
    <s v="Jun"/>
    <n v="2024"/>
  </r>
  <r>
    <n v="100324"/>
    <x v="87"/>
    <x v="0"/>
    <s v="P0117"/>
    <x v="1"/>
    <n v="4"/>
    <n v="2610.4899999999998"/>
    <n v="30"/>
    <x v="2"/>
    <n v="1094.48"/>
    <x v="1"/>
    <s v="UPI"/>
    <n v="4377.92"/>
    <n v="7309.3719999999985"/>
    <n v="2931.4519999999984"/>
    <n v="0.40105387986820196"/>
    <x v="0"/>
    <s v="May"/>
    <n v="2024"/>
  </r>
  <r>
    <n v="100325"/>
    <x v="259"/>
    <x v="11"/>
    <s v="P0072"/>
    <x v="1"/>
    <n v="2"/>
    <n v="4048.53"/>
    <n v="30"/>
    <x v="2"/>
    <n v="1996.36"/>
    <x v="2"/>
    <s v="NetBanking"/>
    <n v="3992.72"/>
    <n v="5667.942"/>
    <n v="1675.2220000000002"/>
    <n v="0.29556089317780604"/>
    <x v="0"/>
    <s v="Dec"/>
    <n v="2024"/>
  </r>
  <r>
    <n v="100326"/>
    <x v="228"/>
    <x v="33"/>
    <s v="P0095"/>
    <x v="1"/>
    <n v="1"/>
    <n v="640.5"/>
    <n v="20"/>
    <x v="1"/>
    <n v="331.62"/>
    <x v="1"/>
    <s v="UPI"/>
    <n v="331.62"/>
    <n v="512.4"/>
    <n v="180.77999999999997"/>
    <n v="0.35281030444964867"/>
    <x v="0"/>
    <s v="Jan"/>
    <n v="2024"/>
  </r>
  <r>
    <n v="100327"/>
    <x v="260"/>
    <x v="34"/>
    <s v="P0169"/>
    <x v="1"/>
    <n v="2"/>
    <n v="1670.81"/>
    <n v="10"/>
    <x v="0"/>
    <n v="1016.68"/>
    <x v="2"/>
    <s v="UPI"/>
    <n v="2033.36"/>
    <n v="3007.4580000000001"/>
    <n v="974.09800000000018"/>
    <n v="0.32389413251988897"/>
    <x v="0"/>
    <s v="Apr"/>
    <n v="2023"/>
  </r>
  <r>
    <n v="100328"/>
    <x v="261"/>
    <x v="24"/>
    <s v="P0145"/>
    <x v="3"/>
    <n v="4"/>
    <n v="3704.14"/>
    <n v="5"/>
    <x v="0"/>
    <n v="2314.16"/>
    <x v="1"/>
    <s v="Card"/>
    <n v="9256.64"/>
    <n v="14075.731999999998"/>
    <n v="4819.0919999999987"/>
    <n v="0.34236883737201018"/>
    <x v="1"/>
    <s v="Jul"/>
    <n v="2024"/>
  </r>
  <r>
    <n v="100329"/>
    <x v="210"/>
    <x v="2"/>
    <s v="P0054"/>
    <x v="1"/>
    <n v="4"/>
    <n v="4937.3100000000004"/>
    <n v="30"/>
    <x v="2"/>
    <n v="2185.9899999999998"/>
    <x v="2"/>
    <s v="Cash"/>
    <n v="8743.9599999999991"/>
    <n v="13824.468000000001"/>
    <n v="5080.5080000000016"/>
    <n v="0.3675011580915809"/>
    <x v="0"/>
    <s v="Aug"/>
    <n v="2024"/>
  </r>
  <r>
    <n v="100330"/>
    <x v="262"/>
    <x v="47"/>
    <s v="P0097"/>
    <x v="0"/>
    <n v="2"/>
    <n v="1288.6400000000001"/>
    <n v="30"/>
    <x v="2"/>
    <n v="649.22"/>
    <x v="0"/>
    <s v="Card"/>
    <n v="1298.44"/>
    <n v="1804.096"/>
    <n v="505.65599999999995"/>
    <n v="0.28028220227748407"/>
    <x v="0"/>
    <s v="Aug"/>
    <n v="2023"/>
  </r>
  <r>
    <n v="100331"/>
    <x v="241"/>
    <x v="23"/>
    <s v="P0116"/>
    <x v="2"/>
    <n v="2"/>
    <n v="2810.94"/>
    <n v="25"/>
    <x v="2"/>
    <n v="1868.6"/>
    <x v="1"/>
    <s v="Digital"/>
    <n v="3737.2"/>
    <n v="4216.41"/>
    <n v="479.21000000000004"/>
    <n v="0.11365355835888825"/>
    <x v="1"/>
    <s v="Aug"/>
    <n v="2024"/>
  </r>
  <r>
    <n v="100332"/>
    <x v="263"/>
    <x v="29"/>
    <s v="P0174"/>
    <x v="6"/>
    <n v="2"/>
    <n v="2165.54"/>
    <n v="5"/>
    <x v="0"/>
    <n v="952.44"/>
    <x v="1"/>
    <s v="UPI"/>
    <n v="1904.88"/>
    <n v="4114.5259999999998"/>
    <n v="2209.6459999999997"/>
    <n v="0.53703537175363569"/>
    <x v="0"/>
    <s v="Mar"/>
    <n v="2023"/>
  </r>
  <r>
    <n v="100333"/>
    <x v="264"/>
    <x v="39"/>
    <s v="P0049"/>
    <x v="3"/>
    <n v="2"/>
    <n v="4062.76"/>
    <n v="25"/>
    <x v="2"/>
    <n v="1869.05"/>
    <x v="2"/>
    <s v="Card"/>
    <n v="3738.1"/>
    <n v="6094.14"/>
    <n v="2356.0400000000004"/>
    <n v="0.38660746225062115"/>
    <x v="1"/>
    <s v="Mar"/>
    <n v="2024"/>
  </r>
  <r>
    <n v="100334"/>
    <x v="265"/>
    <x v="13"/>
    <s v="P0006"/>
    <x v="2"/>
    <n v="4"/>
    <n v="3291.22"/>
    <n v="15"/>
    <x v="1"/>
    <n v="2014.04"/>
    <x v="0"/>
    <s v="Card"/>
    <n v="8056.16"/>
    <n v="11190.147999999999"/>
    <n v="3133.9879999999994"/>
    <n v="0.28006671582895953"/>
    <x v="0"/>
    <s v="Jan"/>
    <n v="2023"/>
  </r>
  <r>
    <n v="100335"/>
    <x v="69"/>
    <x v="9"/>
    <s v="P0008"/>
    <x v="2"/>
    <n v="1"/>
    <n v="544.27"/>
    <n v="10"/>
    <x v="0"/>
    <n v="306.08999999999997"/>
    <x v="2"/>
    <s v="Cash"/>
    <n v="306.08999999999997"/>
    <n v="489.84300000000002"/>
    <n v="183.75300000000004"/>
    <n v="0.37512631598287621"/>
    <x v="0"/>
    <s v="Jan"/>
    <n v="2024"/>
  </r>
  <r>
    <n v="100336"/>
    <x v="266"/>
    <x v="23"/>
    <s v="P0111"/>
    <x v="0"/>
    <n v="4"/>
    <n v="3656.21"/>
    <n v="10"/>
    <x v="0"/>
    <n v="2341.87"/>
    <x v="0"/>
    <s v="NetBanking"/>
    <n v="9367.48"/>
    <n v="13162.356"/>
    <n v="3794.8760000000002"/>
    <n v="0.28831282180788914"/>
    <x v="0"/>
    <s v="Nov"/>
    <n v="2023"/>
  </r>
  <r>
    <n v="100337"/>
    <x v="267"/>
    <x v="17"/>
    <s v="P0132"/>
    <x v="6"/>
    <n v="3"/>
    <n v="2576.67"/>
    <n v="0"/>
    <x v="0"/>
    <n v="1541.48"/>
    <x v="2"/>
    <s v="Digital"/>
    <n v="4624.4400000000005"/>
    <n v="7730.01"/>
    <n v="3105.5699999999997"/>
    <n v="0.40175497832473694"/>
    <x v="0"/>
    <s v="Jul"/>
    <n v="2023"/>
  </r>
  <r>
    <n v="100338"/>
    <x v="268"/>
    <x v="22"/>
    <s v="P0127"/>
    <x v="4"/>
    <n v="2"/>
    <n v="4141.3"/>
    <n v="25"/>
    <x v="2"/>
    <n v="2218.48"/>
    <x v="1"/>
    <s v="NetBanking"/>
    <n v="4436.96"/>
    <n v="6211.9500000000007"/>
    <n v="1774.9900000000007"/>
    <n v="0.28573797277827423"/>
    <x v="0"/>
    <s v="May"/>
    <n v="2024"/>
  </r>
  <r>
    <n v="100339"/>
    <x v="269"/>
    <x v="42"/>
    <s v="P0087"/>
    <x v="1"/>
    <n v="1"/>
    <n v="1070.8"/>
    <n v="5"/>
    <x v="0"/>
    <n v="569.22"/>
    <x v="2"/>
    <s v="UPI"/>
    <n v="569.22"/>
    <n v="1017.2599999999999"/>
    <n v="448.03999999999985"/>
    <n v="0.44043803943927795"/>
    <x v="0"/>
    <s v="Jan"/>
    <n v="2023"/>
  </r>
  <r>
    <n v="100340"/>
    <x v="270"/>
    <x v="2"/>
    <s v="P0147"/>
    <x v="5"/>
    <n v="4"/>
    <n v="1049.8599999999999"/>
    <n v="20"/>
    <x v="1"/>
    <n v="694.52"/>
    <x v="0"/>
    <s v="Digital"/>
    <n v="2778.08"/>
    <n v="3359.5519999999997"/>
    <n v="581.47199999999975"/>
    <n v="0.17308022021983877"/>
    <x v="0"/>
    <s v="May"/>
    <n v="2023"/>
  </r>
  <r>
    <n v="100341"/>
    <x v="142"/>
    <x v="47"/>
    <s v="P0053"/>
    <x v="1"/>
    <n v="3"/>
    <n v="2509.86"/>
    <n v="5"/>
    <x v="0"/>
    <n v="1564.35"/>
    <x v="0"/>
    <s v="Cash"/>
    <n v="4693.0499999999993"/>
    <n v="7153.1009999999997"/>
    <n v="2460.0510000000004"/>
    <n v="0.34391391929178694"/>
    <x v="1"/>
    <s v="Sep"/>
    <n v="2024"/>
  </r>
  <r>
    <n v="100342"/>
    <x v="271"/>
    <x v="21"/>
    <s v="P0150"/>
    <x v="3"/>
    <n v="3"/>
    <n v="505.21"/>
    <n v="0"/>
    <x v="0"/>
    <n v="226.59"/>
    <x v="0"/>
    <s v="Cash"/>
    <n v="679.77"/>
    <n v="1515.6299999999999"/>
    <n v="835.8599999999999"/>
    <n v="0.55149343837216203"/>
    <x v="0"/>
    <s v="Dec"/>
    <n v="2024"/>
  </r>
  <r>
    <n v="100343"/>
    <x v="272"/>
    <x v="34"/>
    <s v="P0156"/>
    <x v="6"/>
    <n v="1"/>
    <n v="4982.7700000000004"/>
    <n v="5"/>
    <x v="0"/>
    <n v="3450.26"/>
    <x v="2"/>
    <s v="NetBanking"/>
    <n v="3450.26"/>
    <n v="4733.6315000000004"/>
    <n v="1283.3715000000002"/>
    <n v="0.27111774543497946"/>
    <x v="0"/>
    <s v="Oct"/>
    <n v="2024"/>
  </r>
  <r>
    <n v="100344"/>
    <x v="273"/>
    <x v="2"/>
    <s v="P0097"/>
    <x v="6"/>
    <n v="2"/>
    <n v="2195.33"/>
    <n v="0"/>
    <x v="0"/>
    <n v="1023.39"/>
    <x v="2"/>
    <s v="Cash"/>
    <n v="2046.78"/>
    <n v="4390.66"/>
    <n v="2343.88"/>
    <n v="0.5338331822550596"/>
    <x v="0"/>
    <s v="Jul"/>
    <n v="2023"/>
  </r>
  <r>
    <n v="100345"/>
    <x v="167"/>
    <x v="11"/>
    <s v="P0186"/>
    <x v="0"/>
    <n v="3"/>
    <n v="2474.33"/>
    <n v="0"/>
    <x v="0"/>
    <n v="1634.25"/>
    <x v="1"/>
    <s v="UPI"/>
    <n v="4902.75"/>
    <n v="7422.99"/>
    <n v="2520.2399999999998"/>
    <n v="0.33951817259621797"/>
    <x v="0"/>
    <s v="Jun"/>
    <n v="2023"/>
  </r>
  <r>
    <n v="100346"/>
    <x v="274"/>
    <x v="25"/>
    <s v="P0126"/>
    <x v="2"/>
    <n v="1"/>
    <n v="4277.3500000000004"/>
    <n v="0"/>
    <x v="0"/>
    <n v="2517.77"/>
    <x v="1"/>
    <s v="NetBanking"/>
    <n v="2517.77"/>
    <n v="4277.3500000000004"/>
    <n v="1759.5800000000004"/>
    <n v="0.41137152676306599"/>
    <x v="1"/>
    <s v="Dec"/>
    <n v="2023"/>
  </r>
  <r>
    <n v="100347"/>
    <x v="275"/>
    <x v="46"/>
    <s v="P0105"/>
    <x v="0"/>
    <n v="4"/>
    <n v="2672.77"/>
    <n v="5"/>
    <x v="0"/>
    <n v="1504.74"/>
    <x v="1"/>
    <s v="Digital"/>
    <n v="6018.96"/>
    <n v="10156.526"/>
    <n v="4137.5659999999998"/>
    <n v="0.40738004313679693"/>
    <x v="0"/>
    <s v="Aug"/>
    <n v="2024"/>
  </r>
  <r>
    <n v="100348"/>
    <x v="125"/>
    <x v="36"/>
    <s v="P0079"/>
    <x v="2"/>
    <n v="4"/>
    <n v="438.15"/>
    <n v="10"/>
    <x v="0"/>
    <n v="227.25"/>
    <x v="2"/>
    <s v="NetBanking"/>
    <n v="909"/>
    <n v="1577.34"/>
    <n v="668.33999999999992"/>
    <n v="0.42371334018030354"/>
    <x v="0"/>
    <s v="Jul"/>
    <n v="2024"/>
  </r>
  <r>
    <n v="100349"/>
    <x v="276"/>
    <x v="29"/>
    <s v="P0186"/>
    <x v="6"/>
    <n v="2"/>
    <n v="4026.89"/>
    <n v="0"/>
    <x v="0"/>
    <n v="2402.0500000000002"/>
    <x v="2"/>
    <s v="Card"/>
    <n v="4804.1000000000004"/>
    <n v="8053.78"/>
    <n v="3249.6799999999994"/>
    <n v="0.40349748813600561"/>
    <x v="1"/>
    <s v="Jan"/>
    <n v="2024"/>
  </r>
  <r>
    <n v="100350"/>
    <x v="277"/>
    <x v="21"/>
    <s v="P0040"/>
    <x v="4"/>
    <n v="2"/>
    <n v="1988.01"/>
    <n v="25"/>
    <x v="2"/>
    <n v="1024.1300000000001"/>
    <x v="0"/>
    <s v="NetBanking"/>
    <n v="2048.2600000000002"/>
    <n v="2982.0149999999999"/>
    <n v="933.75499999999965"/>
    <n v="0.31312887426790265"/>
    <x v="0"/>
    <s v="Jun"/>
    <n v="2024"/>
  </r>
  <r>
    <n v="100351"/>
    <x v="278"/>
    <x v="17"/>
    <s v="P0100"/>
    <x v="6"/>
    <n v="1"/>
    <n v="3745.63"/>
    <n v="25"/>
    <x v="2"/>
    <n v="1646.09"/>
    <x v="1"/>
    <s v="UPI"/>
    <n v="1646.09"/>
    <n v="2809.2224999999999"/>
    <n v="1163.1324999999999"/>
    <n v="0.4140407176718825"/>
    <x v="0"/>
    <s v="Jun"/>
    <n v="2024"/>
  </r>
  <r>
    <n v="100352"/>
    <x v="138"/>
    <x v="46"/>
    <s v="P0078"/>
    <x v="5"/>
    <n v="4"/>
    <n v="3128.72"/>
    <n v="5"/>
    <x v="0"/>
    <n v="1845.2"/>
    <x v="2"/>
    <s v="NetBanking"/>
    <n v="7380.8"/>
    <n v="11889.135999999999"/>
    <n v="4508.3359999999984"/>
    <n v="0.37919795012858787"/>
    <x v="1"/>
    <s v="Jun"/>
    <n v="2024"/>
  </r>
  <r>
    <n v="100353"/>
    <x v="261"/>
    <x v="35"/>
    <s v="P0062"/>
    <x v="0"/>
    <n v="2"/>
    <n v="1150.5899999999999"/>
    <n v="20"/>
    <x v="1"/>
    <n v="755.15"/>
    <x v="2"/>
    <s v="Digital"/>
    <n v="1510.3"/>
    <n v="1840.944"/>
    <n v="330.64400000000001"/>
    <n v="0.17960568056388462"/>
    <x v="1"/>
    <s v="Jul"/>
    <n v="2024"/>
  </r>
  <r>
    <n v="100354"/>
    <x v="53"/>
    <x v="46"/>
    <s v="P0084"/>
    <x v="5"/>
    <n v="2"/>
    <n v="4392.5200000000004"/>
    <n v="10"/>
    <x v="0"/>
    <n v="2343.81"/>
    <x v="2"/>
    <s v="Card"/>
    <n v="4687.62"/>
    <n v="7906.536000000001"/>
    <n v="3218.9160000000011"/>
    <n v="0.4071208933975638"/>
    <x v="1"/>
    <s v="May"/>
    <n v="2024"/>
  </r>
  <r>
    <n v="100355"/>
    <x v="279"/>
    <x v="47"/>
    <s v="P0066"/>
    <x v="0"/>
    <n v="2"/>
    <n v="747.73"/>
    <n v="25"/>
    <x v="2"/>
    <n v="445.38"/>
    <x v="2"/>
    <s v="NetBanking"/>
    <n v="890.76"/>
    <n v="1121.595"/>
    <n v="230.83500000000004"/>
    <n v="0.20580958367325106"/>
    <x v="1"/>
    <s v="Jan"/>
    <n v="2023"/>
  </r>
  <r>
    <n v="100356"/>
    <x v="182"/>
    <x v="9"/>
    <s v="P0184"/>
    <x v="0"/>
    <n v="3"/>
    <n v="3386.66"/>
    <n v="10"/>
    <x v="0"/>
    <n v="1685.06"/>
    <x v="1"/>
    <s v="UPI"/>
    <n v="5055.18"/>
    <n v="9143.982"/>
    <n v="4088.8019999999997"/>
    <n v="0.44715770437868313"/>
    <x v="0"/>
    <s v="Feb"/>
    <n v="2024"/>
  </r>
  <r>
    <n v="100357"/>
    <x v="280"/>
    <x v="38"/>
    <s v="P0010"/>
    <x v="3"/>
    <n v="4"/>
    <n v="4858.16"/>
    <n v="30"/>
    <x v="2"/>
    <n v="2604.64"/>
    <x v="0"/>
    <s v="Card"/>
    <n v="10418.56"/>
    <n v="13602.847999999998"/>
    <n v="3184.2879999999986"/>
    <n v="0.23408980237079757"/>
    <x v="0"/>
    <s v="Jan"/>
    <n v="2024"/>
  </r>
  <r>
    <n v="100358"/>
    <x v="255"/>
    <x v="38"/>
    <s v="P0010"/>
    <x v="0"/>
    <n v="3"/>
    <n v="2377.5100000000002"/>
    <n v="5"/>
    <x v="0"/>
    <n v="1187.01"/>
    <x v="0"/>
    <s v="Digital"/>
    <n v="3561.0299999999997"/>
    <n v="6775.9035000000003"/>
    <n v="3214.8735000000006"/>
    <n v="0.47445680122215445"/>
    <x v="0"/>
    <s v="Aug"/>
    <n v="2024"/>
  </r>
  <r>
    <n v="100359"/>
    <x v="281"/>
    <x v="0"/>
    <s v="P0008"/>
    <x v="4"/>
    <n v="4"/>
    <n v="4195.75"/>
    <n v="25"/>
    <x v="2"/>
    <n v="2220.67"/>
    <x v="0"/>
    <s v="Card"/>
    <n v="8882.68"/>
    <n v="12587.25"/>
    <n v="3704.5699999999997"/>
    <n v="0.2943113070766053"/>
    <x v="0"/>
    <s v="Oct"/>
    <n v="2023"/>
  </r>
  <r>
    <n v="100360"/>
    <x v="282"/>
    <x v="46"/>
    <s v="P0121"/>
    <x v="3"/>
    <n v="3"/>
    <n v="4758.34"/>
    <n v="15"/>
    <x v="1"/>
    <n v="2263.8200000000002"/>
    <x v="0"/>
    <s v="Card"/>
    <n v="6791.4600000000009"/>
    <n v="12133.767"/>
    <n v="5342.3069999999989"/>
    <n v="0.44028429093784305"/>
    <x v="0"/>
    <s v="Oct"/>
    <n v="2023"/>
  </r>
  <r>
    <n v="100361"/>
    <x v="283"/>
    <x v="1"/>
    <s v="P0049"/>
    <x v="2"/>
    <n v="3"/>
    <n v="3761.09"/>
    <n v="15"/>
    <x v="1"/>
    <n v="2253.42"/>
    <x v="1"/>
    <s v="UPI"/>
    <n v="6760.26"/>
    <n v="9590.7795000000006"/>
    <n v="2830.5195000000003"/>
    <n v="0.29512924366575211"/>
    <x v="0"/>
    <s v="Jun"/>
    <n v="2023"/>
  </r>
  <r>
    <n v="100362"/>
    <x v="284"/>
    <x v="25"/>
    <s v="P0134"/>
    <x v="3"/>
    <n v="1"/>
    <n v="3615.31"/>
    <n v="5"/>
    <x v="0"/>
    <n v="1930.25"/>
    <x v="2"/>
    <s v="Digital"/>
    <n v="1930.25"/>
    <n v="3434.5445"/>
    <n v="1504.2945"/>
    <n v="0.43798952088115323"/>
    <x v="0"/>
    <s v="Jan"/>
    <n v="2024"/>
  </r>
  <r>
    <n v="100363"/>
    <x v="285"/>
    <x v="12"/>
    <s v="P0130"/>
    <x v="4"/>
    <n v="4"/>
    <n v="2837.56"/>
    <n v="0"/>
    <x v="0"/>
    <n v="1164.1300000000001"/>
    <x v="2"/>
    <s v="Card"/>
    <n v="4656.5200000000004"/>
    <n v="11350.24"/>
    <n v="6693.7199999999993"/>
    <n v="0.58974259575127919"/>
    <x v="0"/>
    <s v="Nov"/>
    <n v="2023"/>
  </r>
  <r>
    <n v="100364"/>
    <x v="122"/>
    <x v="26"/>
    <s v="P0119"/>
    <x v="2"/>
    <n v="1"/>
    <n v="2796.5"/>
    <n v="30"/>
    <x v="2"/>
    <n v="1904.37"/>
    <x v="1"/>
    <s v="Digital"/>
    <n v="1904.37"/>
    <n v="1957.55"/>
    <n v="53.180000000000064"/>
    <n v="2.716661132538125E-2"/>
    <x v="1"/>
    <s v="Jan"/>
    <n v="2023"/>
  </r>
  <r>
    <n v="100365"/>
    <x v="52"/>
    <x v="39"/>
    <s v="P0179"/>
    <x v="1"/>
    <n v="3"/>
    <n v="2425.34"/>
    <n v="10"/>
    <x v="0"/>
    <n v="1649.63"/>
    <x v="1"/>
    <s v="NetBanking"/>
    <n v="4948.8900000000003"/>
    <n v="6548.4180000000006"/>
    <n v="1599.5280000000002"/>
    <n v="0.24426174382881485"/>
    <x v="1"/>
    <s v="Jun"/>
    <n v="2023"/>
  </r>
  <r>
    <n v="100366"/>
    <x v="262"/>
    <x v="17"/>
    <s v="P0043"/>
    <x v="0"/>
    <n v="2"/>
    <n v="3534.58"/>
    <n v="25"/>
    <x v="2"/>
    <n v="1835.2"/>
    <x v="1"/>
    <s v="NetBanking"/>
    <n v="3670.4"/>
    <n v="5301.87"/>
    <n v="1631.4699999999998"/>
    <n v="0.30771595682278136"/>
    <x v="0"/>
    <s v="Aug"/>
    <n v="2023"/>
  </r>
  <r>
    <n v="100367"/>
    <x v="286"/>
    <x v="6"/>
    <s v="P0039"/>
    <x v="0"/>
    <n v="2"/>
    <n v="4773.5200000000004"/>
    <n v="20"/>
    <x v="1"/>
    <n v="2824.66"/>
    <x v="0"/>
    <s v="Card"/>
    <n v="5649.32"/>
    <n v="7637.6320000000014"/>
    <n v="1988.3120000000017"/>
    <n v="0.26033095074494311"/>
    <x v="0"/>
    <s v="Jul"/>
    <n v="2023"/>
  </r>
  <r>
    <n v="100368"/>
    <x v="264"/>
    <x v="47"/>
    <s v="P0038"/>
    <x v="3"/>
    <n v="3"/>
    <n v="1494.86"/>
    <n v="15"/>
    <x v="1"/>
    <n v="831.92"/>
    <x v="0"/>
    <s v="Card"/>
    <n v="2495.7599999999998"/>
    <n v="3811.893"/>
    <n v="1316.1330000000003"/>
    <n v="0.34527018465628501"/>
    <x v="1"/>
    <s v="Mar"/>
    <n v="2024"/>
  </r>
  <r>
    <n v="100369"/>
    <x v="287"/>
    <x v="17"/>
    <s v="P0080"/>
    <x v="6"/>
    <n v="4"/>
    <n v="890.99"/>
    <n v="25"/>
    <x v="2"/>
    <n v="391.87"/>
    <x v="0"/>
    <s v="NetBanking"/>
    <n v="1567.48"/>
    <n v="2672.9700000000003"/>
    <n v="1105.4900000000002"/>
    <n v="0.41358114756244929"/>
    <x v="1"/>
    <s v="Nov"/>
    <n v="2023"/>
  </r>
  <r>
    <n v="100370"/>
    <x v="288"/>
    <x v="23"/>
    <s v="P0129"/>
    <x v="1"/>
    <n v="2"/>
    <n v="1248.71"/>
    <n v="20"/>
    <x v="1"/>
    <n v="751.76"/>
    <x v="2"/>
    <s v="Digital"/>
    <n v="1503.52"/>
    <n v="1997.9360000000001"/>
    <n v="494.41600000000017"/>
    <n v="0.24746338221044123"/>
    <x v="0"/>
    <s v="Dec"/>
    <n v="2023"/>
  </r>
  <r>
    <n v="100371"/>
    <x v="289"/>
    <x v="14"/>
    <s v="P0086"/>
    <x v="3"/>
    <n v="3"/>
    <n v="3461.23"/>
    <n v="30"/>
    <x v="2"/>
    <n v="1845.27"/>
    <x v="1"/>
    <s v="Digital"/>
    <n v="5535.8099999999995"/>
    <n v="7268.5829999999996"/>
    <n v="1732.7730000000001"/>
    <n v="0.23839213227667624"/>
    <x v="0"/>
    <s v="May"/>
    <n v="2024"/>
  </r>
  <r>
    <n v="100372"/>
    <x v="290"/>
    <x v="35"/>
    <s v="P0171"/>
    <x v="5"/>
    <n v="3"/>
    <n v="3555.34"/>
    <n v="10"/>
    <x v="0"/>
    <n v="2316.0700000000002"/>
    <x v="2"/>
    <s v="NetBanking"/>
    <n v="6948.2100000000009"/>
    <n v="9599.4180000000015"/>
    <n v="2651.2080000000005"/>
    <n v="0.27618424366977251"/>
    <x v="1"/>
    <s v="Aug"/>
    <n v="2023"/>
  </r>
  <r>
    <n v="100373"/>
    <x v="212"/>
    <x v="4"/>
    <s v="P0136"/>
    <x v="5"/>
    <n v="2"/>
    <n v="382.33"/>
    <n v="25"/>
    <x v="2"/>
    <n v="180.94"/>
    <x v="2"/>
    <s v="Digital"/>
    <n v="361.88"/>
    <n v="573.495"/>
    <n v="211.61500000000001"/>
    <n v="0.36899188310272979"/>
    <x v="0"/>
    <s v="Jun"/>
    <n v="2024"/>
  </r>
  <r>
    <n v="100374"/>
    <x v="291"/>
    <x v="48"/>
    <s v="P0046"/>
    <x v="5"/>
    <n v="3"/>
    <n v="2981.87"/>
    <n v="5"/>
    <x v="0"/>
    <n v="1219.93"/>
    <x v="1"/>
    <s v="UPI"/>
    <n v="3659.79"/>
    <n v="8498.3294999999998"/>
    <n v="4838.5394999999999"/>
    <n v="0.56935183555779989"/>
    <x v="0"/>
    <s v="Dec"/>
    <n v="2023"/>
  </r>
  <r>
    <n v="100375"/>
    <x v="64"/>
    <x v="25"/>
    <s v="P0053"/>
    <x v="2"/>
    <n v="4"/>
    <n v="3479.61"/>
    <n v="0"/>
    <x v="0"/>
    <n v="1616.98"/>
    <x v="0"/>
    <s v="Cash"/>
    <n v="6467.92"/>
    <n v="13918.44"/>
    <n v="7450.52"/>
    <n v="0.5352984960958268"/>
    <x v="0"/>
    <s v="Oct"/>
    <n v="2024"/>
  </r>
  <r>
    <n v="100376"/>
    <x v="76"/>
    <x v="45"/>
    <s v="P0194"/>
    <x v="4"/>
    <n v="4"/>
    <n v="3360.79"/>
    <n v="15"/>
    <x v="1"/>
    <n v="1451.79"/>
    <x v="1"/>
    <s v="NetBanking"/>
    <n v="5807.16"/>
    <n v="11426.686"/>
    <n v="5619.5259999999998"/>
    <n v="0.49178965799882834"/>
    <x v="0"/>
    <s v="Aug"/>
    <n v="2023"/>
  </r>
  <r>
    <n v="100377"/>
    <x v="52"/>
    <x v="19"/>
    <s v="P0169"/>
    <x v="6"/>
    <n v="2"/>
    <n v="3143.28"/>
    <n v="0"/>
    <x v="0"/>
    <n v="1557.29"/>
    <x v="0"/>
    <s v="Card"/>
    <n v="3114.58"/>
    <n v="6286.56"/>
    <n v="3171.9800000000005"/>
    <n v="0.50456529485123824"/>
    <x v="1"/>
    <s v="Jun"/>
    <n v="2023"/>
  </r>
  <r>
    <n v="100378"/>
    <x v="241"/>
    <x v="8"/>
    <s v="P0159"/>
    <x v="4"/>
    <n v="1"/>
    <n v="4392.54"/>
    <n v="30"/>
    <x v="2"/>
    <n v="2788.01"/>
    <x v="1"/>
    <s v="Cash"/>
    <n v="2788.01"/>
    <n v="3074.7779999999998"/>
    <n v="286.76799999999957"/>
    <n v="9.3264619429435106E-2"/>
    <x v="1"/>
    <s v="Aug"/>
    <n v="2024"/>
  </r>
  <r>
    <n v="100379"/>
    <x v="260"/>
    <x v="13"/>
    <s v="P0132"/>
    <x v="3"/>
    <n v="1"/>
    <n v="812.82"/>
    <n v="25"/>
    <x v="2"/>
    <n v="483.75"/>
    <x v="2"/>
    <s v="UPI"/>
    <n v="483.75"/>
    <n v="609.61500000000001"/>
    <n v="125.86500000000001"/>
    <n v="0.20646637631948034"/>
    <x v="0"/>
    <s v="Apr"/>
    <n v="2023"/>
  </r>
  <r>
    <n v="100380"/>
    <x v="84"/>
    <x v="1"/>
    <s v="P0023"/>
    <x v="5"/>
    <n v="2"/>
    <n v="2359.41"/>
    <n v="10"/>
    <x v="0"/>
    <n v="1581.78"/>
    <x v="0"/>
    <s v="NetBanking"/>
    <n v="3163.56"/>
    <n v="4246.9380000000001"/>
    <n v="1083.3780000000002"/>
    <n v="0.25509625994069141"/>
    <x v="0"/>
    <s v="Feb"/>
    <n v="2024"/>
  </r>
  <r>
    <n v="100381"/>
    <x v="10"/>
    <x v="6"/>
    <s v="P0089"/>
    <x v="0"/>
    <n v="3"/>
    <n v="4383.83"/>
    <n v="10"/>
    <x v="0"/>
    <n v="2247.6"/>
    <x v="0"/>
    <s v="NetBanking"/>
    <n v="6742.7999999999993"/>
    <n v="11836.341"/>
    <n v="5093.5410000000011"/>
    <n v="0.43033070777531679"/>
    <x v="1"/>
    <s v="Mar"/>
    <n v="2024"/>
  </r>
  <r>
    <n v="100382"/>
    <x v="292"/>
    <x v="8"/>
    <s v="P0143"/>
    <x v="5"/>
    <n v="1"/>
    <n v="1825.55"/>
    <n v="0"/>
    <x v="0"/>
    <n v="930.92"/>
    <x v="0"/>
    <s v="Card"/>
    <n v="930.92"/>
    <n v="1825.55"/>
    <n v="894.63"/>
    <n v="0.4900605297033771"/>
    <x v="0"/>
    <s v="Dec"/>
    <n v="2024"/>
  </r>
  <r>
    <n v="100383"/>
    <x v="293"/>
    <x v="4"/>
    <s v="P0049"/>
    <x v="0"/>
    <n v="1"/>
    <n v="2087.9699999999998"/>
    <n v="10"/>
    <x v="0"/>
    <n v="1178.76"/>
    <x v="2"/>
    <s v="Digital"/>
    <n v="1178.76"/>
    <n v="1879.1729999999998"/>
    <n v="700.41299999999978"/>
    <n v="0.37272406532022323"/>
    <x v="0"/>
    <s v="Feb"/>
    <n v="2024"/>
  </r>
  <r>
    <n v="100384"/>
    <x v="294"/>
    <x v="33"/>
    <s v="P0099"/>
    <x v="3"/>
    <n v="4"/>
    <n v="2054.2800000000002"/>
    <n v="30"/>
    <x v="2"/>
    <n v="961.77"/>
    <x v="0"/>
    <s v="Card"/>
    <n v="3847.08"/>
    <n v="5751.9840000000004"/>
    <n v="1904.9040000000005"/>
    <n v="0.33117338295794985"/>
    <x v="1"/>
    <s v="Sep"/>
    <n v="2023"/>
  </r>
  <r>
    <n v="100385"/>
    <x v="295"/>
    <x v="33"/>
    <s v="P0085"/>
    <x v="5"/>
    <n v="4"/>
    <n v="3440.6"/>
    <n v="20"/>
    <x v="1"/>
    <n v="2015.67"/>
    <x v="1"/>
    <s v="NetBanking"/>
    <n v="8062.68"/>
    <n v="11009.92"/>
    <n v="2947.24"/>
    <n v="0.26768950183107593"/>
    <x v="0"/>
    <s v="Jan"/>
    <n v="2023"/>
  </r>
  <r>
    <n v="100386"/>
    <x v="296"/>
    <x v="28"/>
    <s v="P0154"/>
    <x v="5"/>
    <n v="2"/>
    <n v="4771.95"/>
    <n v="0"/>
    <x v="0"/>
    <n v="3121.57"/>
    <x v="0"/>
    <s v="Digital"/>
    <n v="6243.14"/>
    <n v="9543.9"/>
    <n v="3300.7599999999993"/>
    <n v="0.3458502289420467"/>
    <x v="0"/>
    <s v="Sep"/>
    <n v="2024"/>
  </r>
  <r>
    <n v="100387"/>
    <x v="223"/>
    <x v="22"/>
    <s v="P0044"/>
    <x v="6"/>
    <n v="1"/>
    <n v="2086.92"/>
    <n v="0"/>
    <x v="0"/>
    <n v="1084.46"/>
    <x v="2"/>
    <s v="Card"/>
    <n v="1084.46"/>
    <n v="2086.92"/>
    <n v="1002.46"/>
    <n v="0.4803538228585667"/>
    <x v="0"/>
    <s v="Oct"/>
    <n v="2023"/>
  </r>
  <r>
    <n v="100388"/>
    <x v="297"/>
    <x v="48"/>
    <s v="P0046"/>
    <x v="1"/>
    <n v="4"/>
    <n v="3157.15"/>
    <n v="10"/>
    <x v="0"/>
    <n v="1987.32"/>
    <x v="1"/>
    <s v="Digital"/>
    <n v="7949.28"/>
    <n v="11365.74"/>
    <n v="3416.46"/>
    <n v="0.30059283425452282"/>
    <x v="0"/>
    <s v="Nov"/>
    <n v="2023"/>
  </r>
  <r>
    <n v="100389"/>
    <x v="298"/>
    <x v="27"/>
    <s v="P0151"/>
    <x v="6"/>
    <n v="2"/>
    <n v="3662.81"/>
    <n v="25"/>
    <x v="2"/>
    <n v="2037.88"/>
    <x v="0"/>
    <s v="Card"/>
    <n v="4075.76"/>
    <n v="5494.2150000000001"/>
    <n v="1418.4549999999999"/>
    <n v="0.25817245957793789"/>
    <x v="1"/>
    <s v="Jan"/>
    <n v="2023"/>
  </r>
  <r>
    <n v="100390"/>
    <x v="234"/>
    <x v="29"/>
    <s v="P0143"/>
    <x v="4"/>
    <n v="3"/>
    <n v="335.55"/>
    <n v="5"/>
    <x v="0"/>
    <n v="199.4"/>
    <x v="1"/>
    <s v="Digital"/>
    <n v="598.20000000000005"/>
    <n v="956.3175"/>
    <n v="358.11749999999995"/>
    <n v="0.37447552721768657"/>
    <x v="0"/>
    <s v="May"/>
    <n v="2023"/>
  </r>
  <r>
    <n v="100391"/>
    <x v="299"/>
    <x v="10"/>
    <s v="P0021"/>
    <x v="3"/>
    <n v="1"/>
    <n v="3377.06"/>
    <n v="0"/>
    <x v="0"/>
    <n v="1735.88"/>
    <x v="0"/>
    <s v="Cash"/>
    <n v="1735.88"/>
    <n v="3377.06"/>
    <n v="1641.1799999999998"/>
    <n v="0.48597892841702545"/>
    <x v="0"/>
    <s v="Nov"/>
    <n v="2023"/>
  </r>
  <r>
    <n v="100392"/>
    <x v="300"/>
    <x v="21"/>
    <s v="P0052"/>
    <x v="4"/>
    <n v="1"/>
    <n v="1952.63"/>
    <n v="30"/>
    <x v="2"/>
    <n v="840.46"/>
    <x v="2"/>
    <s v="Cash"/>
    <n v="840.46"/>
    <n v="1366.8409999999999"/>
    <n v="526.38099999999986"/>
    <n v="0.3851077045537849"/>
    <x v="0"/>
    <s v="Jan"/>
    <n v="2024"/>
  </r>
  <r>
    <n v="100393"/>
    <x v="158"/>
    <x v="28"/>
    <s v="P0136"/>
    <x v="4"/>
    <n v="2"/>
    <n v="1744.26"/>
    <n v="25"/>
    <x v="2"/>
    <n v="1117.9100000000001"/>
    <x v="1"/>
    <s v="Cash"/>
    <n v="2235.8200000000002"/>
    <n v="2616.39"/>
    <n v="380.56999999999971"/>
    <n v="0.14545614377061514"/>
    <x v="0"/>
    <s v="Oct"/>
    <n v="2023"/>
  </r>
  <r>
    <n v="100394"/>
    <x v="46"/>
    <x v="1"/>
    <s v="P0177"/>
    <x v="5"/>
    <n v="4"/>
    <n v="721.24"/>
    <n v="25"/>
    <x v="2"/>
    <n v="443.77"/>
    <x v="0"/>
    <s v="Digital"/>
    <n v="1775.08"/>
    <n v="2163.7200000000003"/>
    <n v="388.64000000000033"/>
    <n v="0.1796165862496073"/>
    <x v="0"/>
    <s v="Jan"/>
    <n v="2023"/>
  </r>
  <r>
    <n v="100395"/>
    <x v="301"/>
    <x v="38"/>
    <s v="P0007"/>
    <x v="2"/>
    <n v="1"/>
    <n v="2243.6799999999998"/>
    <n v="25"/>
    <x v="2"/>
    <n v="979.51"/>
    <x v="2"/>
    <s v="NetBanking"/>
    <n v="979.51"/>
    <n v="1682.7599999999998"/>
    <n v="703.24999999999977"/>
    <n v="0.41791461646342903"/>
    <x v="0"/>
    <s v="Apr"/>
    <n v="2024"/>
  </r>
  <r>
    <n v="100396"/>
    <x v="167"/>
    <x v="22"/>
    <s v="P0071"/>
    <x v="2"/>
    <n v="3"/>
    <n v="4339.25"/>
    <n v="0"/>
    <x v="0"/>
    <n v="2776.84"/>
    <x v="1"/>
    <s v="Cash"/>
    <n v="8330.52"/>
    <n v="13017.75"/>
    <n v="4687.2299999999996"/>
    <n v="0.36006452728005989"/>
    <x v="0"/>
    <s v="Jun"/>
    <n v="2023"/>
  </r>
  <r>
    <n v="100397"/>
    <x v="302"/>
    <x v="36"/>
    <s v="P0184"/>
    <x v="4"/>
    <n v="3"/>
    <n v="802.32"/>
    <n v="0"/>
    <x v="0"/>
    <n v="457.48"/>
    <x v="1"/>
    <s v="Cash"/>
    <n v="1372.44"/>
    <n v="2406.96"/>
    <n v="1034.52"/>
    <n v="0.42980356964802074"/>
    <x v="0"/>
    <s v="Oct"/>
    <n v="2023"/>
  </r>
  <r>
    <n v="100398"/>
    <x v="303"/>
    <x v="36"/>
    <s v="P0172"/>
    <x v="4"/>
    <n v="4"/>
    <n v="2295.2800000000002"/>
    <n v="15"/>
    <x v="1"/>
    <n v="978.05"/>
    <x v="0"/>
    <s v="Digital"/>
    <n v="3912.2"/>
    <n v="7803.9520000000002"/>
    <n v="3891.7520000000004"/>
    <n v="0.49868989455598911"/>
    <x v="1"/>
    <s v="Jan"/>
    <n v="2024"/>
  </r>
  <r>
    <n v="100399"/>
    <x v="180"/>
    <x v="16"/>
    <s v="P0119"/>
    <x v="1"/>
    <n v="4"/>
    <n v="2774.55"/>
    <n v="30"/>
    <x v="2"/>
    <n v="1203.3"/>
    <x v="0"/>
    <s v="Cash"/>
    <n v="4813.2"/>
    <n v="7768.74"/>
    <n v="2955.54"/>
    <n v="0.38044007136292374"/>
    <x v="1"/>
    <s v="May"/>
    <n v="2023"/>
  </r>
  <r>
    <n v="100400"/>
    <x v="304"/>
    <x v="48"/>
    <s v="P0009"/>
    <x v="4"/>
    <n v="2"/>
    <n v="4150.1899999999996"/>
    <n v="15"/>
    <x v="1"/>
    <n v="2760.96"/>
    <x v="1"/>
    <s v="UPI"/>
    <n v="5521.92"/>
    <n v="7055.3229999999994"/>
    <n v="1533.4029999999993"/>
    <n v="0.21733987232051594"/>
    <x v="0"/>
    <s v="Jan"/>
    <n v="2023"/>
  </r>
  <r>
    <n v="100401"/>
    <x v="160"/>
    <x v="33"/>
    <s v="P0170"/>
    <x v="3"/>
    <n v="3"/>
    <n v="3171.61"/>
    <n v="20"/>
    <x v="1"/>
    <n v="1659.73"/>
    <x v="0"/>
    <s v="NetBanking"/>
    <n v="4979.1900000000005"/>
    <n v="7611.8640000000005"/>
    <n v="2632.674"/>
    <n v="0.34586456090124573"/>
    <x v="1"/>
    <s v="Sep"/>
    <n v="2024"/>
  </r>
  <r>
    <n v="100402"/>
    <x v="223"/>
    <x v="20"/>
    <s v="P0068"/>
    <x v="1"/>
    <n v="4"/>
    <n v="3918.74"/>
    <n v="30"/>
    <x v="2"/>
    <n v="2221.89"/>
    <x v="0"/>
    <s v="UPI"/>
    <n v="8887.56"/>
    <n v="10972.471999999998"/>
    <n v="2084.9119999999984"/>
    <n v="0.19001297064143785"/>
    <x v="0"/>
    <s v="Oct"/>
    <n v="2023"/>
  </r>
  <r>
    <n v="100403"/>
    <x v="305"/>
    <x v="31"/>
    <s v="P0089"/>
    <x v="0"/>
    <n v="2"/>
    <n v="3740.2"/>
    <n v="10"/>
    <x v="0"/>
    <n v="2451.15"/>
    <x v="0"/>
    <s v="UPI"/>
    <n v="4902.3"/>
    <n v="6732.36"/>
    <n v="1830.0599999999995"/>
    <n v="0.27183038340195703"/>
    <x v="0"/>
    <s v="Jun"/>
    <n v="2023"/>
  </r>
  <r>
    <n v="100404"/>
    <x v="306"/>
    <x v="8"/>
    <s v="P0069"/>
    <x v="0"/>
    <n v="2"/>
    <n v="3903.28"/>
    <n v="20"/>
    <x v="1"/>
    <n v="1736.61"/>
    <x v="0"/>
    <s v="Cash"/>
    <n v="3473.22"/>
    <n v="6245.2480000000005"/>
    <n v="2772.0280000000007"/>
    <n v="0.44386195712324"/>
    <x v="0"/>
    <s v="Mar"/>
    <n v="2024"/>
  </r>
  <r>
    <n v="100405"/>
    <x v="307"/>
    <x v="9"/>
    <s v="P0119"/>
    <x v="3"/>
    <n v="3"/>
    <n v="1405.61"/>
    <n v="30"/>
    <x v="2"/>
    <n v="928.8"/>
    <x v="1"/>
    <s v="Digital"/>
    <n v="2786.3999999999996"/>
    <n v="2951.7809999999999"/>
    <n v="165.38100000000031"/>
    <n v="5.6027530497689465E-2"/>
    <x v="1"/>
    <s v="Nov"/>
    <n v="2024"/>
  </r>
  <r>
    <n v="100406"/>
    <x v="308"/>
    <x v="18"/>
    <s v="P0163"/>
    <x v="5"/>
    <n v="1"/>
    <n v="749.86"/>
    <n v="20"/>
    <x v="1"/>
    <n v="305.26"/>
    <x v="1"/>
    <s v="UPI"/>
    <n v="305.26"/>
    <n v="599.88800000000003"/>
    <n v="294.62800000000004"/>
    <n v="0.49113834582455396"/>
    <x v="0"/>
    <s v="Oct"/>
    <n v="2024"/>
  </r>
  <r>
    <n v="100407"/>
    <x v="309"/>
    <x v="47"/>
    <s v="P0077"/>
    <x v="1"/>
    <n v="4"/>
    <n v="1269.07"/>
    <n v="20"/>
    <x v="1"/>
    <n v="750.51"/>
    <x v="2"/>
    <s v="NetBanking"/>
    <n v="3002.04"/>
    <n v="4061.0239999999999"/>
    <n v="1058.9839999999999"/>
    <n v="0.26076772754851979"/>
    <x v="0"/>
    <s v="Aug"/>
    <n v="2024"/>
  </r>
  <r>
    <n v="100408"/>
    <x v="310"/>
    <x v="15"/>
    <s v="P0035"/>
    <x v="1"/>
    <n v="1"/>
    <n v="574.74"/>
    <n v="10"/>
    <x v="0"/>
    <n v="254.34"/>
    <x v="0"/>
    <s v="NetBanking"/>
    <n v="254.34"/>
    <n v="517.26600000000008"/>
    <n v="262.92600000000004"/>
    <n v="0.50829940494832448"/>
    <x v="0"/>
    <s v="Nov"/>
    <n v="2023"/>
  </r>
  <r>
    <n v="100409"/>
    <x v="32"/>
    <x v="39"/>
    <s v="P0125"/>
    <x v="3"/>
    <n v="3"/>
    <n v="3567.18"/>
    <n v="0"/>
    <x v="0"/>
    <n v="1859.56"/>
    <x v="0"/>
    <s v="Digital"/>
    <n v="5578.68"/>
    <n v="10701.539999999999"/>
    <n v="5122.8599999999988"/>
    <n v="0.47870306516632177"/>
    <x v="0"/>
    <s v="Jan"/>
    <n v="2024"/>
  </r>
  <r>
    <n v="100410"/>
    <x v="311"/>
    <x v="7"/>
    <s v="P0188"/>
    <x v="0"/>
    <n v="3"/>
    <n v="3705.23"/>
    <n v="30"/>
    <x v="2"/>
    <n v="1499.68"/>
    <x v="1"/>
    <s v="Cash"/>
    <n v="4499.04"/>
    <n v="7780.9830000000002"/>
    <n v="3281.9430000000002"/>
    <n v="0.42179028022551907"/>
    <x v="1"/>
    <s v="Oct"/>
    <n v="2023"/>
  </r>
  <r>
    <n v="100411"/>
    <x v="24"/>
    <x v="21"/>
    <s v="P0032"/>
    <x v="6"/>
    <n v="2"/>
    <n v="789.32"/>
    <n v="30"/>
    <x v="2"/>
    <n v="487.25"/>
    <x v="2"/>
    <s v="Card"/>
    <n v="974.5"/>
    <n v="1105.048"/>
    <n v="130.548"/>
    <n v="0.11813785464522808"/>
    <x v="1"/>
    <s v="Jul"/>
    <n v="2024"/>
  </r>
  <r>
    <n v="100412"/>
    <x v="237"/>
    <x v="26"/>
    <s v="P0164"/>
    <x v="3"/>
    <n v="3"/>
    <n v="3931.33"/>
    <n v="0"/>
    <x v="0"/>
    <n v="1884.95"/>
    <x v="2"/>
    <s v="NetBanking"/>
    <n v="5654.85"/>
    <n v="11793.99"/>
    <n v="6139.1399999999994"/>
    <n v="0.52053121971444771"/>
    <x v="0"/>
    <s v="Dec"/>
    <n v="2023"/>
  </r>
  <r>
    <n v="100413"/>
    <x v="312"/>
    <x v="1"/>
    <s v="P0169"/>
    <x v="5"/>
    <n v="3"/>
    <n v="2185.58"/>
    <n v="0"/>
    <x v="0"/>
    <n v="1114.8399999999999"/>
    <x v="1"/>
    <s v="UPI"/>
    <n v="3344.5199999999995"/>
    <n v="6556.74"/>
    <n v="3212.2200000000003"/>
    <n v="0.48991114486772397"/>
    <x v="1"/>
    <s v="Mar"/>
    <n v="2023"/>
  </r>
  <r>
    <n v="100414"/>
    <x v="313"/>
    <x v="10"/>
    <s v="P0188"/>
    <x v="6"/>
    <n v="3"/>
    <n v="626.29"/>
    <n v="25"/>
    <x v="2"/>
    <n v="348.04"/>
    <x v="1"/>
    <s v="Digital"/>
    <n v="1044.1200000000001"/>
    <n v="1409.1524999999999"/>
    <n v="365.0324999999998"/>
    <n v="0.25904399985097415"/>
    <x v="0"/>
    <s v="Oct"/>
    <n v="2024"/>
  </r>
  <r>
    <n v="100415"/>
    <x v="100"/>
    <x v="17"/>
    <s v="P0050"/>
    <x v="1"/>
    <n v="1"/>
    <n v="628.67999999999995"/>
    <n v="10"/>
    <x v="0"/>
    <n v="372.21"/>
    <x v="0"/>
    <s v="UPI"/>
    <n v="372.21"/>
    <n v="565.81200000000001"/>
    <n v="193.60200000000003"/>
    <n v="0.34216665606243774"/>
    <x v="0"/>
    <s v="Aug"/>
    <n v="2023"/>
  </r>
  <r>
    <n v="100416"/>
    <x v="30"/>
    <x v="6"/>
    <s v="P0086"/>
    <x v="5"/>
    <n v="3"/>
    <n v="2804.9"/>
    <n v="0"/>
    <x v="0"/>
    <n v="1394.88"/>
    <x v="2"/>
    <s v="Card"/>
    <n v="4184.6400000000003"/>
    <n v="8414.7000000000007"/>
    <n v="4230.0600000000004"/>
    <n v="0.50269884844379475"/>
    <x v="1"/>
    <s v="Sep"/>
    <n v="2023"/>
  </r>
  <r>
    <n v="100417"/>
    <x v="314"/>
    <x v="19"/>
    <s v="P0035"/>
    <x v="4"/>
    <n v="2"/>
    <n v="545.99"/>
    <n v="25"/>
    <x v="2"/>
    <n v="280.39"/>
    <x v="2"/>
    <s v="UPI"/>
    <n v="560.78"/>
    <n v="818.98500000000001"/>
    <n v="258.20500000000004"/>
    <n v="0.31527439452493028"/>
    <x v="0"/>
    <s v="Sep"/>
    <n v="2024"/>
  </r>
  <r>
    <n v="100418"/>
    <x v="2"/>
    <x v="33"/>
    <s v="P0044"/>
    <x v="5"/>
    <n v="2"/>
    <n v="2397.86"/>
    <n v="15"/>
    <x v="1"/>
    <n v="1199.0999999999999"/>
    <x v="2"/>
    <s v="Card"/>
    <n v="2398.1999999999998"/>
    <n v="4076.3620000000001"/>
    <n v="1678.1620000000003"/>
    <n v="0.41168129817714921"/>
    <x v="0"/>
    <s v="Oct"/>
    <n v="2024"/>
  </r>
  <r>
    <n v="100419"/>
    <x v="200"/>
    <x v="29"/>
    <s v="P0047"/>
    <x v="1"/>
    <n v="2"/>
    <n v="4800.84"/>
    <n v="0"/>
    <x v="0"/>
    <n v="2172.8200000000002"/>
    <x v="2"/>
    <s v="Cash"/>
    <n v="4345.6400000000003"/>
    <n v="9601.68"/>
    <n v="5256.04"/>
    <n v="0.54740837020188127"/>
    <x v="1"/>
    <s v="Oct"/>
    <n v="2023"/>
  </r>
  <r>
    <n v="100420"/>
    <x v="181"/>
    <x v="23"/>
    <s v="P0121"/>
    <x v="4"/>
    <n v="1"/>
    <n v="1101.25"/>
    <n v="20"/>
    <x v="1"/>
    <n v="575.78"/>
    <x v="2"/>
    <s v="NetBanking"/>
    <n v="575.78"/>
    <n v="881"/>
    <n v="305.22000000000003"/>
    <n v="0.34644721906923953"/>
    <x v="0"/>
    <s v="Oct"/>
    <n v="2024"/>
  </r>
  <r>
    <n v="100421"/>
    <x v="102"/>
    <x v="34"/>
    <s v="P0003"/>
    <x v="4"/>
    <n v="3"/>
    <n v="3853.97"/>
    <n v="15"/>
    <x v="1"/>
    <n v="1943.45"/>
    <x v="2"/>
    <s v="NetBanking"/>
    <n v="5830.35"/>
    <n v="9827.6234999999997"/>
    <n v="3997.2734999999993"/>
    <n v="0.40673856706049022"/>
    <x v="0"/>
    <s v="Oct"/>
    <n v="2024"/>
  </r>
  <r>
    <n v="100422"/>
    <x v="315"/>
    <x v="33"/>
    <s v="P0104"/>
    <x v="2"/>
    <n v="4"/>
    <n v="2097.87"/>
    <n v="15"/>
    <x v="1"/>
    <n v="914.56"/>
    <x v="1"/>
    <s v="NetBanking"/>
    <n v="3658.24"/>
    <n v="7132.7579999999998"/>
    <n v="3474.518"/>
    <n v="0.48712125099435594"/>
    <x v="0"/>
    <s v="Sep"/>
    <n v="2024"/>
  </r>
  <r>
    <n v="100423"/>
    <x v="274"/>
    <x v="40"/>
    <s v="P0065"/>
    <x v="1"/>
    <n v="2"/>
    <n v="4964.67"/>
    <n v="10"/>
    <x v="0"/>
    <n v="3366.54"/>
    <x v="1"/>
    <s v="UPI"/>
    <n v="6733.08"/>
    <n v="8936.4060000000009"/>
    <n v="2203.3260000000009"/>
    <n v="0.24655616586802354"/>
    <x v="1"/>
    <s v="Dec"/>
    <n v="2023"/>
  </r>
  <r>
    <n v="100424"/>
    <x v="316"/>
    <x v="40"/>
    <s v="P0032"/>
    <x v="5"/>
    <n v="1"/>
    <n v="3456.32"/>
    <n v="25"/>
    <x v="2"/>
    <n v="1478.89"/>
    <x v="2"/>
    <s v="Digital"/>
    <n v="1478.89"/>
    <n v="2592.2400000000002"/>
    <n v="1113.3500000000001"/>
    <n v="0.42949341110391015"/>
    <x v="1"/>
    <s v="Feb"/>
    <n v="2024"/>
  </r>
  <r>
    <n v="100425"/>
    <x v="317"/>
    <x v="47"/>
    <s v="P0142"/>
    <x v="3"/>
    <n v="1"/>
    <n v="3159.89"/>
    <n v="20"/>
    <x v="1"/>
    <n v="1744.42"/>
    <x v="1"/>
    <s v="Card"/>
    <n v="1744.42"/>
    <n v="2527.9120000000003"/>
    <n v="783.49200000000019"/>
    <n v="0.30993642183746906"/>
    <x v="0"/>
    <s v="May"/>
    <n v="2024"/>
  </r>
  <r>
    <n v="100426"/>
    <x v="125"/>
    <x v="25"/>
    <s v="P0105"/>
    <x v="2"/>
    <n v="4"/>
    <n v="1724.7"/>
    <n v="25"/>
    <x v="2"/>
    <n v="826.02"/>
    <x v="1"/>
    <s v="Card"/>
    <n v="3304.08"/>
    <n v="5174.1000000000004"/>
    <n v="1870.0200000000004"/>
    <n v="0.36141937728300577"/>
    <x v="0"/>
    <s v="Jul"/>
    <n v="2024"/>
  </r>
  <r>
    <n v="100427"/>
    <x v="318"/>
    <x v="27"/>
    <s v="P0075"/>
    <x v="3"/>
    <n v="1"/>
    <n v="1927.71"/>
    <n v="10"/>
    <x v="0"/>
    <n v="909.33"/>
    <x v="0"/>
    <s v="Cash"/>
    <n v="909.33"/>
    <n v="1734.9390000000001"/>
    <n v="825.60900000000004"/>
    <n v="0.47587206236069396"/>
    <x v="1"/>
    <s v="Mar"/>
    <n v="2024"/>
  </r>
  <r>
    <n v="100428"/>
    <x v="246"/>
    <x v="4"/>
    <s v="P0055"/>
    <x v="6"/>
    <n v="3"/>
    <n v="2165.81"/>
    <n v="25"/>
    <x v="2"/>
    <n v="1156.8900000000001"/>
    <x v="0"/>
    <s v="NetBanking"/>
    <n v="3470.67"/>
    <n v="4873.0725000000002"/>
    <n v="1402.4025000000001"/>
    <n v="0.28778609388635201"/>
    <x v="1"/>
    <s v="Jul"/>
    <n v="2023"/>
  </r>
  <r>
    <n v="100429"/>
    <x v="319"/>
    <x v="34"/>
    <s v="P0060"/>
    <x v="5"/>
    <n v="2"/>
    <n v="4621.1400000000003"/>
    <n v="10"/>
    <x v="0"/>
    <n v="2537.42"/>
    <x v="1"/>
    <s v="UPI"/>
    <n v="5074.84"/>
    <n v="8318.0520000000015"/>
    <n v="3243.2120000000014"/>
    <n v="0.3899004238011497"/>
    <x v="0"/>
    <s v="Dec"/>
    <n v="2023"/>
  </r>
  <r>
    <n v="100430"/>
    <x v="320"/>
    <x v="40"/>
    <s v="P0042"/>
    <x v="0"/>
    <n v="1"/>
    <n v="2137.9"/>
    <n v="30"/>
    <x v="2"/>
    <n v="1176.58"/>
    <x v="0"/>
    <s v="Digital"/>
    <n v="1176.58"/>
    <n v="1496.53"/>
    <n v="319.95000000000005"/>
    <n v="0.21379457812406036"/>
    <x v="1"/>
    <s v="Jul"/>
    <n v="2024"/>
  </r>
  <r>
    <n v="100431"/>
    <x v="321"/>
    <x v="23"/>
    <s v="P0158"/>
    <x v="1"/>
    <n v="2"/>
    <n v="4142.01"/>
    <n v="30"/>
    <x v="2"/>
    <n v="2129.77"/>
    <x v="2"/>
    <s v="Cash"/>
    <n v="4259.54"/>
    <n v="5798.8140000000003"/>
    <n v="1539.2740000000003"/>
    <n v="0.26544634816705626"/>
    <x v="0"/>
    <s v="Aug"/>
    <n v="2023"/>
  </r>
  <r>
    <n v="100432"/>
    <x v="138"/>
    <x v="18"/>
    <s v="P0073"/>
    <x v="0"/>
    <n v="2"/>
    <n v="4087.85"/>
    <n v="10"/>
    <x v="0"/>
    <n v="2604"/>
    <x v="1"/>
    <s v="NetBanking"/>
    <n v="5208"/>
    <n v="7358.13"/>
    <n v="2150.13"/>
    <n v="0.29221147220829208"/>
    <x v="1"/>
    <s v="Jun"/>
    <n v="2024"/>
  </r>
  <r>
    <n v="100433"/>
    <x v="322"/>
    <x v="17"/>
    <s v="P0163"/>
    <x v="6"/>
    <n v="3"/>
    <n v="2194.0100000000002"/>
    <n v="0"/>
    <x v="0"/>
    <n v="991.82"/>
    <x v="0"/>
    <s v="Card"/>
    <n v="2975.46"/>
    <n v="6582.0300000000007"/>
    <n v="3606.5700000000006"/>
    <n v="0.54794189634504864"/>
    <x v="0"/>
    <s v="May"/>
    <n v="2023"/>
  </r>
  <r>
    <n v="100434"/>
    <x v="323"/>
    <x v="23"/>
    <s v="P0025"/>
    <x v="2"/>
    <n v="2"/>
    <n v="4799.42"/>
    <n v="10"/>
    <x v="0"/>
    <n v="2744.85"/>
    <x v="0"/>
    <s v="Digital"/>
    <n v="5489.7"/>
    <n v="8638.9560000000001"/>
    <n v="3149.2560000000003"/>
    <n v="0.3645412709591298"/>
    <x v="1"/>
    <s v="Sep"/>
    <n v="2023"/>
  </r>
  <r>
    <n v="100435"/>
    <x v="324"/>
    <x v="33"/>
    <s v="P0095"/>
    <x v="6"/>
    <n v="2"/>
    <n v="922.87"/>
    <n v="0"/>
    <x v="0"/>
    <n v="607.80999999999995"/>
    <x v="1"/>
    <s v="UPI"/>
    <n v="1215.6199999999999"/>
    <n v="1845.74"/>
    <n v="630.12000000000012"/>
    <n v="0.34139152860099481"/>
    <x v="0"/>
    <s v="Jun"/>
    <n v="2023"/>
  </r>
  <r>
    <n v="100436"/>
    <x v="325"/>
    <x v="14"/>
    <s v="P0125"/>
    <x v="4"/>
    <n v="2"/>
    <n v="954.23"/>
    <n v="10"/>
    <x v="0"/>
    <n v="638.84"/>
    <x v="2"/>
    <s v="Card"/>
    <n v="1277.68"/>
    <n v="1717.614"/>
    <n v="439.93399999999997"/>
    <n v="0.25613088854655353"/>
    <x v="1"/>
    <s v="Aug"/>
    <n v="2023"/>
  </r>
  <r>
    <n v="100437"/>
    <x v="144"/>
    <x v="29"/>
    <s v="P0141"/>
    <x v="4"/>
    <n v="4"/>
    <n v="2662.06"/>
    <n v="25"/>
    <x v="2"/>
    <n v="1383.2"/>
    <x v="1"/>
    <s v="UPI"/>
    <n v="5532.8"/>
    <n v="7986.18"/>
    <n v="2453.38"/>
    <n v="0.30720319351680025"/>
    <x v="0"/>
    <s v="Jan"/>
    <n v="2023"/>
  </r>
  <r>
    <n v="100438"/>
    <x v="175"/>
    <x v="22"/>
    <s v="P0079"/>
    <x v="6"/>
    <n v="1"/>
    <n v="872.28"/>
    <n v="15"/>
    <x v="1"/>
    <n v="474.06"/>
    <x v="0"/>
    <s v="Card"/>
    <n v="474.06"/>
    <n v="741.43799999999999"/>
    <n v="267.37799999999999"/>
    <n v="0.3606208475961577"/>
    <x v="0"/>
    <s v="Jun"/>
    <n v="2024"/>
  </r>
  <r>
    <n v="100439"/>
    <x v="326"/>
    <x v="34"/>
    <s v="P0096"/>
    <x v="6"/>
    <n v="4"/>
    <n v="675.84"/>
    <n v="20"/>
    <x v="1"/>
    <n v="427.82"/>
    <x v="1"/>
    <s v="Digital"/>
    <n v="1711.28"/>
    <n v="2162.6880000000001"/>
    <n v="451.40800000000013"/>
    <n v="0.20872543797348489"/>
    <x v="0"/>
    <s v="May"/>
    <n v="2023"/>
  </r>
  <r>
    <n v="100440"/>
    <x v="327"/>
    <x v="2"/>
    <s v="P0060"/>
    <x v="6"/>
    <n v="4"/>
    <n v="1765.54"/>
    <n v="10"/>
    <x v="0"/>
    <n v="974.3"/>
    <x v="1"/>
    <s v="Card"/>
    <n v="3897.2"/>
    <n v="6355.9440000000004"/>
    <n v="2458.7440000000006"/>
    <n v="0.38684167135519137"/>
    <x v="1"/>
    <s v="Oct"/>
    <n v="2024"/>
  </r>
  <r>
    <n v="100441"/>
    <x v="50"/>
    <x v="11"/>
    <s v="P0130"/>
    <x v="5"/>
    <n v="3"/>
    <n v="3311.88"/>
    <n v="25"/>
    <x v="2"/>
    <n v="1539.4"/>
    <x v="1"/>
    <s v="Cash"/>
    <n v="4618.2000000000007"/>
    <n v="7451.73"/>
    <n v="2833.5299999999988"/>
    <n v="0.38025129734974283"/>
    <x v="0"/>
    <s v="Sep"/>
    <n v="2023"/>
  </r>
  <r>
    <n v="100442"/>
    <x v="289"/>
    <x v="38"/>
    <s v="P0162"/>
    <x v="3"/>
    <n v="4"/>
    <n v="2014.55"/>
    <n v="0"/>
    <x v="0"/>
    <n v="1039.3800000000001"/>
    <x v="2"/>
    <s v="UPI"/>
    <n v="4157.5200000000004"/>
    <n v="8058.2"/>
    <n v="3900.6799999999994"/>
    <n v="0.48406343848502142"/>
    <x v="0"/>
    <s v="May"/>
    <n v="2024"/>
  </r>
  <r>
    <n v="100443"/>
    <x v="328"/>
    <x v="23"/>
    <s v="P0159"/>
    <x v="6"/>
    <n v="2"/>
    <n v="1295.25"/>
    <n v="15"/>
    <x v="1"/>
    <n v="706.4"/>
    <x v="0"/>
    <s v="Digital"/>
    <n v="1412.8"/>
    <n v="2201.9249999999997"/>
    <n v="789.12499999999977"/>
    <n v="0.35837959966847183"/>
    <x v="0"/>
    <s v="Nov"/>
    <n v="2024"/>
  </r>
  <r>
    <n v="100444"/>
    <x v="21"/>
    <x v="31"/>
    <s v="P0149"/>
    <x v="0"/>
    <n v="4"/>
    <n v="1697.57"/>
    <n v="0"/>
    <x v="0"/>
    <n v="898.19"/>
    <x v="2"/>
    <s v="UPI"/>
    <n v="3592.76"/>
    <n v="6790.28"/>
    <n v="3197.5199999999995"/>
    <n v="0.47089663460122405"/>
    <x v="1"/>
    <s v="Apr"/>
    <n v="2023"/>
  </r>
  <r>
    <n v="100445"/>
    <x v="45"/>
    <x v="42"/>
    <s v="P0080"/>
    <x v="2"/>
    <n v="1"/>
    <n v="3978.67"/>
    <n v="20"/>
    <x v="1"/>
    <n v="1908.23"/>
    <x v="2"/>
    <s v="NetBanking"/>
    <n v="1908.23"/>
    <n v="3182.9360000000001"/>
    <n v="1274.7060000000001"/>
    <n v="0.40048119095074486"/>
    <x v="0"/>
    <s v="Sep"/>
    <n v="2023"/>
  </r>
  <r>
    <n v="100446"/>
    <x v="215"/>
    <x v="32"/>
    <s v="P0040"/>
    <x v="5"/>
    <n v="4"/>
    <n v="592.77"/>
    <n v="20"/>
    <x v="1"/>
    <n v="327.7"/>
    <x v="2"/>
    <s v="Cash"/>
    <n v="1310.8"/>
    <n v="1896.864"/>
    <n v="586.06400000000008"/>
    <n v="0.30896469119557335"/>
    <x v="0"/>
    <s v="Sep"/>
    <n v="2024"/>
  </r>
  <r>
    <n v="100447"/>
    <x v="329"/>
    <x v="45"/>
    <s v="P0052"/>
    <x v="1"/>
    <n v="1"/>
    <n v="1393.43"/>
    <n v="10"/>
    <x v="0"/>
    <n v="649.66999999999996"/>
    <x v="0"/>
    <s v="NetBanking"/>
    <n v="649.66999999999996"/>
    <n v="1254.087"/>
    <n v="604.41700000000003"/>
    <n v="0.48195779080717688"/>
    <x v="0"/>
    <s v="Aug"/>
    <n v="2023"/>
  </r>
  <r>
    <n v="100448"/>
    <x v="179"/>
    <x v="46"/>
    <s v="P0116"/>
    <x v="6"/>
    <n v="4"/>
    <n v="2777.09"/>
    <n v="15"/>
    <x v="1"/>
    <n v="1465.82"/>
    <x v="1"/>
    <s v="UPI"/>
    <n v="5863.28"/>
    <n v="9442.1059999999998"/>
    <n v="3578.826"/>
    <n v="0.37902836507025023"/>
    <x v="1"/>
    <s v="Mar"/>
    <n v="2023"/>
  </r>
  <r>
    <n v="100449"/>
    <x v="330"/>
    <x v="39"/>
    <s v="P0155"/>
    <x v="3"/>
    <n v="3"/>
    <n v="2413.9899999999998"/>
    <n v="25"/>
    <x v="2"/>
    <n v="1106.54"/>
    <x v="0"/>
    <s v="NetBanking"/>
    <n v="3319.62"/>
    <n v="5431.4774999999991"/>
    <n v="2111.8574999999992"/>
    <n v="0.38881823592199349"/>
    <x v="1"/>
    <s v="Jun"/>
    <n v="2024"/>
  </r>
  <r>
    <n v="100450"/>
    <x v="331"/>
    <x v="6"/>
    <s v="P0133"/>
    <x v="4"/>
    <n v="4"/>
    <n v="2563.6799999999998"/>
    <n v="10"/>
    <x v="0"/>
    <n v="1161.52"/>
    <x v="2"/>
    <s v="Digital"/>
    <n v="4646.08"/>
    <n v="9229.2479999999996"/>
    <n v="4583.1679999999997"/>
    <n v="0.49659170497964727"/>
    <x v="0"/>
    <s v="Aug"/>
    <n v="2024"/>
  </r>
  <r>
    <n v="100451"/>
    <x v="120"/>
    <x v="18"/>
    <s v="P0079"/>
    <x v="2"/>
    <n v="2"/>
    <n v="1468.33"/>
    <n v="5"/>
    <x v="0"/>
    <n v="646.27"/>
    <x v="0"/>
    <s v="Cash"/>
    <n v="1292.54"/>
    <n v="2789.8269999999998"/>
    <n v="1497.2869999999998"/>
    <n v="0.5366952861234765"/>
    <x v="0"/>
    <s v="Feb"/>
    <n v="2024"/>
  </r>
  <r>
    <n v="100452"/>
    <x v="332"/>
    <x v="45"/>
    <s v="P0133"/>
    <x v="2"/>
    <n v="1"/>
    <n v="3873.36"/>
    <n v="20"/>
    <x v="1"/>
    <n v="1708.67"/>
    <x v="1"/>
    <s v="Cash"/>
    <n v="1708.67"/>
    <n v="3098.6880000000001"/>
    <n v="1390.018"/>
    <n v="0.44858275502406181"/>
    <x v="0"/>
    <s v="Feb"/>
    <n v="2024"/>
  </r>
  <r>
    <n v="100453"/>
    <x v="16"/>
    <x v="48"/>
    <s v="P0181"/>
    <x v="1"/>
    <n v="1"/>
    <n v="1820.45"/>
    <n v="0"/>
    <x v="0"/>
    <n v="1183.82"/>
    <x v="2"/>
    <s v="NetBanking"/>
    <n v="1183.82"/>
    <n v="1820.45"/>
    <n v="636.63000000000011"/>
    <n v="0.34971023647999128"/>
    <x v="0"/>
    <s v="May"/>
    <n v="2024"/>
  </r>
  <r>
    <n v="100454"/>
    <x v="333"/>
    <x v="14"/>
    <s v="P0188"/>
    <x v="3"/>
    <n v="2"/>
    <n v="603.70000000000005"/>
    <n v="15"/>
    <x v="1"/>
    <n v="249.2"/>
    <x v="0"/>
    <s v="Digital"/>
    <n v="498.4"/>
    <n v="1026.29"/>
    <n v="527.89"/>
    <n v="0.51436728410098509"/>
    <x v="0"/>
    <s v="Apr"/>
    <n v="2024"/>
  </r>
  <r>
    <n v="100455"/>
    <x v="217"/>
    <x v="41"/>
    <s v="P0117"/>
    <x v="3"/>
    <n v="3"/>
    <n v="2435.5700000000002"/>
    <n v="25"/>
    <x v="2"/>
    <n v="1591.18"/>
    <x v="1"/>
    <s v="NetBanking"/>
    <n v="4773.54"/>
    <n v="5480.0325000000012"/>
    <n v="706.4925000000012"/>
    <n v="0.12892122446354123"/>
    <x v="1"/>
    <s v="Jul"/>
    <n v="2023"/>
  </r>
  <r>
    <n v="100456"/>
    <x v="190"/>
    <x v="31"/>
    <s v="P0082"/>
    <x v="4"/>
    <n v="2"/>
    <n v="897.84"/>
    <n v="0"/>
    <x v="0"/>
    <n v="592.03"/>
    <x v="0"/>
    <s v="Cash"/>
    <n v="1184.06"/>
    <n v="1795.68"/>
    <n v="611.62000000000012"/>
    <n v="0.34060634411476437"/>
    <x v="1"/>
    <s v="Sep"/>
    <n v="2024"/>
  </r>
  <r>
    <n v="100457"/>
    <x v="239"/>
    <x v="19"/>
    <s v="P0042"/>
    <x v="6"/>
    <n v="4"/>
    <n v="4110.22"/>
    <n v="5"/>
    <x v="0"/>
    <n v="2401.29"/>
    <x v="0"/>
    <s v="Card"/>
    <n v="9605.16"/>
    <n v="15618.835999999999"/>
    <n v="6013.6759999999995"/>
    <n v="0.38502715567280427"/>
    <x v="0"/>
    <s v="Feb"/>
    <n v="2024"/>
  </r>
  <r>
    <n v="100458"/>
    <x v="247"/>
    <x v="2"/>
    <s v="P0017"/>
    <x v="4"/>
    <n v="1"/>
    <n v="4794.24"/>
    <n v="15"/>
    <x v="1"/>
    <n v="2109.19"/>
    <x v="1"/>
    <s v="Cash"/>
    <n v="2109.19"/>
    <n v="4075.1039999999998"/>
    <n v="1965.9139999999998"/>
    <n v="0.48242057135228938"/>
    <x v="0"/>
    <s v="Jul"/>
    <n v="2023"/>
  </r>
  <r>
    <n v="100459"/>
    <x v="334"/>
    <x v="31"/>
    <s v="P0048"/>
    <x v="6"/>
    <n v="4"/>
    <n v="1782.41"/>
    <n v="20"/>
    <x v="1"/>
    <n v="1080.93"/>
    <x v="2"/>
    <s v="NetBanking"/>
    <n v="4323.72"/>
    <n v="5703.7120000000004"/>
    <n v="1379.9920000000002"/>
    <n v="0.2419462974287622"/>
    <x v="0"/>
    <s v="Jul"/>
    <n v="2024"/>
  </r>
  <r>
    <n v="100460"/>
    <x v="335"/>
    <x v="16"/>
    <s v="P0021"/>
    <x v="5"/>
    <n v="1"/>
    <n v="1613.03"/>
    <n v="20"/>
    <x v="1"/>
    <n v="1095.4000000000001"/>
    <x v="1"/>
    <s v="NetBanking"/>
    <n v="1095.4000000000001"/>
    <n v="1290.424"/>
    <n v="195.02399999999989"/>
    <n v="0.15113172104672565"/>
    <x v="1"/>
    <s v="Aug"/>
    <n v="2023"/>
  </r>
  <r>
    <n v="100461"/>
    <x v="336"/>
    <x v="35"/>
    <s v="P0177"/>
    <x v="0"/>
    <n v="4"/>
    <n v="3294.85"/>
    <n v="10"/>
    <x v="0"/>
    <n v="1969.68"/>
    <x v="0"/>
    <s v="NetBanking"/>
    <n v="7878.72"/>
    <n v="11861.46"/>
    <n v="3982.7399999999989"/>
    <n v="0.33577148175688315"/>
    <x v="0"/>
    <s v="Dec"/>
    <n v="2024"/>
  </r>
  <r>
    <n v="100462"/>
    <x v="337"/>
    <x v="36"/>
    <s v="P0069"/>
    <x v="1"/>
    <n v="3"/>
    <n v="4480.1400000000003"/>
    <n v="25"/>
    <x v="2"/>
    <n v="2397.71"/>
    <x v="1"/>
    <s v="Digital"/>
    <n v="7193.13"/>
    <n v="10080.315000000002"/>
    <n v="2887.1850000000022"/>
    <n v="0.28641813276668454"/>
    <x v="0"/>
    <s v="Jun"/>
    <n v="2023"/>
  </r>
  <r>
    <n v="100463"/>
    <x v="338"/>
    <x v="21"/>
    <s v="P0077"/>
    <x v="6"/>
    <n v="4"/>
    <n v="4944.8900000000003"/>
    <n v="15"/>
    <x v="1"/>
    <n v="2635.54"/>
    <x v="0"/>
    <s v="Cash"/>
    <n v="10542.16"/>
    <n v="16812.626"/>
    <n v="6270.4660000000003"/>
    <n v="0.37296172531286903"/>
    <x v="1"/>
    <s v="Jan"/>
    <n v="2023"/>
  </r>
  <r>
    <n v="100464"/>
    <x v="339"/>
    <x v="25"/>
    <s v="P0179"/>
    <x v="1"/>
    <n v="4"/>
    <n v="698.52"/>
    <n v="30"/>
    <x v="2"/>
    <n v="429.52"/>
    <x v="2"/>
    <s v="UPI"/>
    <n v="1718.08"/>
    <n v="1955.8559999999998"/>
    <n v="237.77599999999984"/>
    <n v="0.12157132222413096"/>
    <x v="0"/>
    <s v="Sep"/>
    <n v="2024"/>
  </r>
  <r>
    <n v="100465"/>
    <x v="340"/>
    <x v="1"/>
    <s v="P0021"/>
    <x v="5"/>
    <n v="4"/>
    <n v="795.23"/>
    <n v="5"/>
    <x v="0"/>
    <n v="326.58"/>
    <x v="0"/>
    <s v="UPI"/>
    <n v="1306.32"/>
    <n v="3021.8739999999998"/>
    <n v="1715.5539999999999"/>
    <n v="0.56771195622319126"/>
    <x v="1"/>
    <s v="May"/>
    <n v="2023"/>
  </r>
  <r>
    <n v="100466"/>
    <x v="341"/>
    <x v="4"/>
    <s v="P0180"/>
    <x v="4"/>
    <n v="4"/>
    <n v="1960.28"/>
    <n v="25"/>
    <x v="2"/>
    <n v="958.5"/>
    <x v="1"/>
    <s v="Card"/>
    <n v="3834"/>
    <n v="5880.84"/>
    <n v="2046.8400000000001"/>
    <n v="0.34805231905646133"/>
    <x v="1"/>
    <s v="Oct"/>
    <n v="2024"/>
  </r>
  <r>
    <n v="100467"/>
    <x v="6"/>
    <x v="25"/>
    <s v="P0186"/>
    <x v="5"/>
    <n v="3"/>
    <n v="4728.88"/>
    <n v="30"/>
    <x v="2"/>
    <n v="3003.56"/>
    <x v="1"/>
    <s v="Cash"/>
    <n v="9010.68"/>
    <n v="9930.6479999999992"/>
    <n v="919.96799999999894"/>
    <n v="9.2639271878330501E-2"/>
    <x v="0"/>
    <s v="Jul"/>
    <n v="2024"/>
  </r>
  <r>
    <n v="100468"/>
    <x v="278"/>
    <x v="40"/>
    <s v="P0064"/>
    <x v="4"/>
    <n v="1"/>
    <n v="2883.2"/>
    <n v="10"/>
    <x v="0"/>
    <n v="1871.66"/>
    <x v="0"/>
    <s v="Digital"/>
    <n v="1871.66"/>
    <n v="2594.88"/>
    <n v="723.22"/>
    <n v="0.27871038352447897"/>
    <x v="0"/>
    <s v="Jun"/>
    <n v="2024"/>
  </r>
  <r>
    <n v="100469"/>
    <x v="76"/>
    <x v="26"/>
    <s v="P0081"/>
    <x v="6"/>
    <n v="2"/>
    <n v="398.44"/>
    <n v="0"/>
    <x v="0"/>
    <n v="169.2"/>
    <x v="2"/>
    <s v="Card"/>
    <n v="338.4"/>
    <n v="796.88"/>
    <n v="458.48"/>
    <n v="0.57534384097982127"/>
    <x v="0"/>
    <s v="Aug"/>
    <n v="2023"/>
  </r>
  <r>
    <n v="100470"/>
    <x v="342"/>
    <x v="34"/>
    <s v="P0194"/>
    <x v="4"/>
    <n v="3"/>
    <n v="3977.68"/>
    <n v="25"/>
    <x v="2"/>
    <n v="1862.96"/>
    <x v="1"/>
    <s v="NetBanking"/>
    <n v="5588.88"/>
    <n v="8949.7799999999988"/>
    <n v="3360.8999999999987"/>
    <n v="0.37552878394776174"/>
    <x v="1"/>
    <s v="Nov"/>
    <n v="2023"/>
  </r>
  <r>
    <n v="100471"/>
    <x v="343"/>
    <x v="2"/>
    <s v="P0068"/>
    <x v="4"/>
    <n v="3"/>
    <n v="1266.73"/>
    <n v="20"/>
    <x v="1"/>
    <n v="552.82000000000005"/>
    <x v="2"/>
    <s v="Digital"/>
    <n v="1658.46"/>
    <n v="3040.152"/>
    <n v="1381.692"/>
    <n v="0.45448122330725571"/>
    <x v="0"/>
    <s v="Jan"/>
    <n v="2024"/>
  </r>
  <r>
    <n v="100472"/>
    <x v="117"/>
    <x v="40"/>
    <s v="P0190"/>
    <x v="6"/>
    <n v="2"/>
    <n v="625.5"/>
    <n v="0"/>
    <x v="0"/>
    <n v="430.31"/>
    <x v="0"/>
    <s v="NetBanking"/>
    <n v="860.62"/>
    <n v="1251"/>
    <n v="390.38"/>
    <n v="0.31205435651478819"/>
    <x v="1"/>
    <s v="Apr"/>
    <n v="2023"/>
  </r>
  <r>
    <n v="100473"/>
    <x v="344"/>
    <x v="21"/>
    <s v="P0091"/>
    <x v="4"/>
    <n v="3"/>
    <n v="4851.8999999999996"/>
    <n v="0"/>
    <x v="0"/>
    <n v="3103.34"/>
    <x v="2"/>
    <s v="Cash"/>
    <n v="9310.02"/>
    <n v="14555.699999999999"/>
    <n v="5245.6799999999985"/>
    <n v="0.36038665265153852"/>
    <x v="1"/>
    <s v="Oct"/>
    <n v="2024"/>
  </r>
  <r>
    <n v="100474"/>
    <x v="47"/>
    <x v="2"/>
    <s v="P0095"/>
    <x v="4"/>
    <n v="4"/>
    <n v="835.6"/>
    <n v="30"/>
    <x v="2"/>
    <n v="456.07"/>
    <x v="2"/>
    <s v="Cash"/>
    <n v="1824.28"/>
    <n v="2339.6799999999998"/>
    <n v="515.39999999999986"/>
    <n v="0.22028653491075698"/>
    <x v="0"/>
    <s v="Jun"/>
    <n v="2023"/>
  </r>
  <r>
    <n v="100475"/>
    <x v="345"/>
    <x v="35"/>
    <s v="P0010"/>
    <x v="0"/>
    <n v="4"/>
    <n v="4115.32"/>
    <n v="0"/>
    <x v="0"/>
    <n v="2456.61"/>
    <x v="2"/>
    <s v="Digital"/>
    <n v="9826.44"/>
    <n v="16461.28"/>
    <n v="6634.8399999999983"/>
    <n v="0.40305735641456791"/>
    <x v="0"/>
    <s v="Jun"/>
    <n v="2024"/>
  </r>
  <r>
    <n v="100476"/>
    <x v="161"/>
    <x v="39"/>
    <s v="P0059"/>
    <x v="5"/>
    <n v="3"/>
    <n v="820.8"/>
    <n v="15"/>
    <x v="1"/>
    <n v="475.7"/>
    <x v="2"/>
    <s v="NetBanking"/>
    <n v="1427.1"/>
    <n v="2093.0399999999995"/>
    <n v="665.9399999999996"/>
    <n v="0.31816878798302933"/>
    <x v="1"/>
    <s v="Oct"/>
    <n v="2024"/>
  </r>
  <r>
    <n v="100477"/>
    <x v="346"/>
    <x v="29"/>
    <s v="P0172"/>
    <x v="0"/>
    <n v="2"/>
    <n v="2365.1999999999998"/>
    <n v="10"/>
    <x v="0"/>
    <n v="1381"/>
    <x v="2"/>
    <s v="Digital"/>
    <n v="2762"/>
    <n v="4257.3599999999997"/>
    <n v="1495.3599999999997"/>
    <n v="0.35124114474697932"/>
    <x v="1"/>
    <s v="Feb"/>
    <n v="2024"/>
  </r>
  <r>
    <n v="100478"/>
    <x v="270"/>
    <x v="26"/>
    <s v="P0032"/>
    <x v="3"/>
    <n v="4"/>
    <n v="2631.42"/>
    <n v="30"/>
    <x v="2"/>
    <n v="1062.6099999999999"/>
    <x v="2"/>
    <s v="Card"/>
    <n v="4250.4399999999996"/>
    <n v="7367.9759999999997"/>
    <n v="3117.5360000000001"/>
    <n v="0.42311972786013419"/>
    <x v="0"/>
    <s v="May"/>
    <n v="2023"/>
  </r>
  <r>
    <n v="100479"/>
    <x v="93"/>
    <x v="11"/>
    <s v="P0175"/>
    <x v="0"/>
    <n v="2"/>
    <n v="4348.4399999999996"/>
    <n v="0"/>
    <x v="0"/>
    <n v="2843.68"/>
    <x v="1"/>
    <s v="Card"/>
    <n v="5687.36"/>
    <n v="8696.8799999999992"/>
    <n v="3009.5199999999995"/>
    <n v="0.3460459383135101"/>
    <x v="0"/>
    <s v="Aug"/>
    <n v="2023"/>
  </r>
  <r>
    <n v="100480"/>
    <x v="347"/>
    <x v="45"/>
    <s v="P0136"/>
    <x v="4"/>
    <n v="2"/>
    <n v="3289.53"/>
    <n v="0"/>
    <x v="0"/>
    <n v="1533.97"/>
    <x v="0"/>
    <s v="Card"/>
    <n v="3067.94"/>
    <n v="6579.06"/>
    <n v="3511.1200000000003"/>
    <n v="0.53368110337951014"/>
    <x v="1"/>
    <s v="Sep"/>
    <n v="2024"/>
  </r>
  <r>
    <n v="100481"/>
    <x v="156"/>
    <x v="15"/>
    <s v="P0086"/>
    <x v="2"/>
    <n v="2"/>
    <n v="3723.91"/>
    <n v="30"/>
    <x v="2"/>
    <n v="2356.9899999999998"/>
    <x v="0"/>
    <s v="Digital"/>
    <n v="4713.9799999999996"/>
    <n v="5213.4739999999993"/>
    <n v="499.49399999999969"/>
    <n v="9.5808284456774848E-2"/>
    <x v="0"/>
    <s v="Aug"/>
    <n v="2023"/>
  </r>
  <r>
    <n v="100482"/>
    <x v="348"/>
    <x v="20"/>
    <s v="P0002"/>
    <x v="0"/>
    <n v="2"/>
    <n v="4927.95"/>
    <n v="0"/>
    <x v="0"/>
    <n v="3357"/>
    <x v="1"/>
    <s v="Card"/>
    <n v="6714"/>
    <n v="9855.9"/>
    <n v="3141.8999999999996"/>
    <n v="0.31878367272395214"/>
    <x v="0"/>
    <s v="Apr"/>
    <n v="2024"/>
  </r>
  <r>
    <n v="100483"/>
    <x v="349"/>
    <x v="4"/>
    <s v="P0095"/>
    <x v="4"/>
    <n v="1"/>
    <n v="3520.9"/>
    <n v="15"/>
    <x v="1"/>
    <n v="1505.4"/>
    <x v="2"/>
    <s v="NetBanking"/>
    <n v="1505.4"/>
    <n v="2992.7649999999999"/>
    <n v="1487.3649999999998"/>
    <n v="0.49698690007401175"/>
    <x v="0"/>
    <s v="Jul"/>
    <n v="2024"/>
  </r>
  <r>
    <n v="100484"/>
    <x v="350"/>
    <x v="18"/>
    <s v="P0022"/>
    <x v="2"/>
    <n v="3"/>
    <n v="2677.51"/>
    <n v="30"/>
    <x v="2"/>
    <n v="1746.3"/>
    <x v="0"/>
    <s v="Digital"/>
    <n v="5238.8999999999996"/>
    <n v="5622.7709999999997"/>
    <n v="383.87100000000009"/>
    <n v="6.8270786770437589E-2"/>
    <x v="0"/>
    <s v="Apr"/>
    <n v="2024"/>
  </r>
  <r>
    <n v="100485"/>
    <x v="268"/>
    <x v="16"/>
    <s v="P0191"/>
    <x v="4"/>
    <n v="3"/>
    <n v="3863.47"/>
    <n v="25"/>
    <x v="2"/>
    <n v="2407.0500000000002"/>
    <x v="2"/>
    <s v="UPI"/>
    <n v="7221.1500000000005"/>
    <n v="8692.807499999999"/>
    <n v="1471.6574999999984"/>
    <n v="0.16929599556875022"/>
    <x v="0"/>
    <s v="May"/>
    <n v="2024"/>
  </r>
  <r>
    <n v="100486"/>
    <x v="351"/>
    <x v="41"/>
    <s v="P0111"/>
    <x v="2"/>
    <n v="2"/>
    <n v="2955.6"/>
    <n v="0"/>
    <x v="0"/>
    <n v="1793.06"/>
    <x v="0"/>
    <s v="Digital"/>
    <n v="3586.12"/>
    <n v="5911.2"/>
    <n v="2325.08"/>
    <n v="0.39333468669644067"/>
    <x v="0"/>
    <s v="Apr"/>
    <n v="2023"/>
  </r>
  <r>
    <n v="100487"/>
    <x v="352"/>
    <x v="5"/>
    <s v="P0186"/>
    <x v="4"/>
    <n v="1"/>
    <n v="3877.27"/>
    <n v="20"/>
    <x v="1"/>
    <n v="1737.1"/>
    <x v="0"/>
    <s v="Card"/>
    <n v="1737.1"/>
    <n v="3101.8160000000003"/>
    <n v="1364.7160000000003"/>
    <n v="0.43997322858609289"/>
    <x v="0"/>
    <s v="Dec"/>
    <n v="2023"/>
  </r>
  <r>
    <n v="100488"/>
    <x v="268"/>
    <x v="18"/>
    <s v="P0193"/>
    <x v="1"/>
    <n v="4"/>
    <n v="4115.24"/>
    <n v="0"/>
    <x v="0"/>
    <n v="2561.79"/>
    <x v="0"/>
    <s v="Digital"/>
    <n v="10247.16"/>
    <n v="16460.96"/>
    <n v="6213.7999999999993"/>
    <n v="0.37748709674283881"/>
    <x v="0"/>
    <s v="May"/>
    <n v="2024"/>
  </r>
  <r>
    <n v="100489"/>
    <x v="205"/>
    <x v="48"/>
    <s v="P0010"/>
    <x v="5"/>
    <n v="4"/>
    <n v="766.14"/>
    <n v="20"/>
    <x v="1"/>
    <n v="398.74"/>
    <x v="2"/>
    <s v="Digital"/>
    <n v="1594.96"/>
    <n v="2451.6480000000001"/>
    <n v="856.6880000000001"/>
    <n v="0.34943352389902632"/>
    <x v="1"/>
    <s v="May"/>
    <n v="2024"/>
  </r>
  <r>
    <n v="100490"/>
    <x v="353"/>
    <x v="19"/>
    <s v="P0169"/>
    <x v="3"/>
    <n v="1"/>
    <n v="3745.44"/>
    <n v="30"/>
    <x v="2"/>
    <n v="2190.3200000000002"/>
    <x v="0"/>
    <s v="Card"/>
    <n v="2190.3200000000002"/>
    <n v="2621.808"/>
    <n v="431.48799999999983"/>
    <n v="0.164576505983657"/>
    <x v="0"/>
    <s v="Mar"/>
    <n v="2023"/>
  </r>
  <r>
    <n v="100491"/>
    <x v="331"/>
    <x v="36"/>
    <s v="P0090"/>
    <x v="4"/>
    <n v="4"/>
    <n v="3983.82"/>
    <n v="20"/>
    <x v="1"/>
    <n v="2255.91"/>
    <x v="2"/>
    <s v="Cash"/>
    <n v="9023.64"/>
    <n v="12748.224000000002"/>
    <n v="3724.5840000000026"/>
    <n v="0.29216493215054912"/>
    <x v="0"/>
    <s v="Aug"/>
    <n v="2024"/>
  </r>
  <r>
    <n v="100492"/>
    <x v="354"/>
    <x v="45"/>
    <s v="P0121"/>
    <x v="0"/>
    <n v="2"/>
    <n v="465.96"/>
    <n v="25"/>
    <x v="2"/>
    <n v="290.63"/>
    <x v="0"/>
    <s v="NetBanking"/>
    <n v="581.26"/>
    <n v="698.93999999999994"/>
    <n v="117.67999999999995"/>
    <n v="0.16836924485649693"/>
    <x v="1"/>
    <s v="Jan"/>
    <n v="2023"/>
  </r>
  <r>
    <n v="100493"/>
    <x v="312"/>
    <x v="41"/>
    <s v="P0056"/>
    <x v="3"/>
    <n v="2"/>
    <n v="3865.78"/>
    <n v="15"/>
    <x v="1"/>
    <n v="2333.0500000000002"/>
    <x v="2"/>
    <s v="UPI"/>
    <n v="4666.1000000000004"/>
    <n v="6571.826"/>
    <n v="1905.7259999999997"/>
    <n v="0.28998424486588653"/>
    <x v="1"/>
    <s v="Mar"/>
    <n v="2023"/>
  </r>
  <r>
    <n v="100494"/>
    <x v="355"/>
    <x v="1"/>
    <s v="P0132"/>
    <x v="5"/>
    <n v="3"/>
    <n v="4982.7700000000004"/>
    <n v="20"/>
    <x v="1"/>
    <n v="2543.67"/>
    <x v="2"/>
    <s v="Digital"/>
    <n v="7631.01"/>
    <n v="11958.648000000001"/>
    <n v="4327.6380000000008"/>
    <n v="0.36188355071576656"/>
    <x v="0"/>
    <s v="Jan"/>
    <n v="2024"/>
  </r>
  <r>
    <n v="100495"/>
    <x v="75"/>
    <x v="27"/>
    <s v="P0037"/>
    <x v="5"/>
    <n v="4"/>
    <n v="3967.88"/>
    <n v="15"/>
    <x v="1"/>
    <n v="1845.71"/>
    <x v="2"/>
    <s v="Digital"/>
    <n v="7382.84"/>
    <n v="13490.791999999999"/>
    <n v="6107.9519999999993"/>
    <n v="0.45274969771974838"/>
    <x v="1"/>
    <s v="Jun"/>
    <n v="2023"/>
  </r>
  <r>
    <n v="100496"/>
    <x v="120"/>
    <x v="22"/>
    <s v="P0038"/>
    <x v="2"/>
    <n v="2"/>
    <n v="2239.3200000000002"/>
    <n v="15"/>
    <x v="1"/>
    <n v="1363.04"/>
    <x v="1"/>
    <s v="Cash"/>
    <n v="2726.08"/>
    <n v="3806.8440000000001"/>
    <n v="1080.7640000000001"/>
    <n v="0.28390025963764215"/>
    <x v="0"/>
    <s v="Feb"/>
    <n v="2024"/>
  </r>
  <r>
    <n v="100497"/>
    <x v="356"/>
    <x v="46"/>
    <s v="P0017"/>
    <x v="0"/>
    <n v="2"/>
    <n v="1970.82"/>
    <n v="30"/>
    <x v="2"/>
    <n v="1257.8900000000001"/>
    <x v="0"/>
    <s v="Cash"/>
    <n v="2515.7800000000002"/>
    <n v="2759.1479999999997"/>
    <n v="243.36799999999948"/>
    <n v="8.8204039797792469E-2"/>
    <x v="0"/>
    <s v="Jan"/>
    <n v="2023"/>
  </r>
  <r>
    <n v="100498"/>
    <x v="268"/>
    <x v="44"/>
    <s v="P0080"/>
    <x v="6"/>
    <n v="3"/>
    <n v="4409.03"/>
    <n v="10"/>
    <x v="0"/>
    <n v="2438.34"/>
    <x v="1"/>
    <s v="NetBanking"/>
    <n v="7315.02"/>
    <n v="11904.381000000001"/>
    <n v="4589.3610000000008"/>
    <n v="0.38551865905501514"/>
    <x v="0"/>
    <s v="May"/>
    <n v="2024"/>
  </r>
  <r>
    <n v="100499"/>
    <x v="357"/>
    <x v="42"/>
    <s v="P0162"/>
    <x v="0"/>
    <n v="2"/>
    <n v="2938.98"/>
    <n v="0"/>
    <x v="0"/>
    <n v="1669.92"/>
    <x v="1"/>
    <s v="UPI"/>
    <n v="3339.84"/>
    <n v="5877.96"/>
    <n v="2538.12"/>
    <n v="0.43180287038360243"/>
    <x v="0"/>
    <s v="Jun"/>
    <n v="2024"/>
  </r>
  <r>
    <n v="100500"/>
    <x v="358"/>
    <x v="48"/>
    <s v="P0147"/>
    <x v="0"/>
    <n v="2"/>
    <n v="4083.45"/>
    <n v="25"/>
    <x v="2"/>
    <n v="1963.92"/>
    <x v="1"/>
    <s v="Cash"/>
    <n v="3927.84"/>
    <n v="6125.1749999999993"/>
    <n v="2197.3349999999991"/>
    <n v="0.35873832176223525"/>
    <x v="0"/>
    <s v="Mar"/>
    <n v="2023"/>
  </r>
  <r>
    <n v="100501"/>
    <x v="359"/>
    <x v="16"/>
    <s v="P0109"/>
    <x v="0"/>
    <n v="1"/>
    <n v="3291.51"/>
    <n v="15"/>
    <x v="1"/>
    <n v="1463.73"/>
    <x v="2"/>
    <s v="Cash"/>
    <n v="1463.73"/>
    <n v="2797.7835"/>
    <n v="1334.0535"/>
    <n v="0.47682513675557814"/>
    <x v="0"/>
    <s v="Oct"/>
    <n v="2024"/>
  </r>
  <r>
    <n v="100502"/>
    <x v="360"/>
    <x v="43"/>
    <s v="P0019"/>
    <x v="3"/>
    <n v="4"/>
    <n v="3989.02"/>
    <n v="10"/>
    <x v="0"/>
    <n v="2442.4899999999998"/>
    <x v="1"/>
    <s v="Cash"/>
    <n v="9769.9599999999991"/>
    <n v="14360.472"/>
    <n v="4590.5120000000006"/>
    <n v="0.31966303057448253"/>
    <x v="0"/>
    <s v="Dec"/>
    <n v="2024"/>
  </r>
  <r>
    <n v="100503"/>
    <x v="35"/>
    <x v="31"/>
    <s v="P0183"/>
    <x v="2"/>
    <n v="4"/>
    <n v="2055.27"/>
    <n v="30"/>
    <x v="2"/>
    <n v="897.56"/>
    <x v="2"/>
    <s v="UPI"/>
    <n v="3590.24"/>
    <n v="5754.7559999999994"/>
    <n v="2164.5159999999996"/>
    <n v="0.37612645957534946"/>
    <x v="1"/>
    <s v="Apr"/>
    <n v="2023"/>
  </r>
  <r>
    <n v="100504"/>
    <x v="5"/>
    <x v="44"/>
    <s v="P0047"/>
    <x v="4"/>
    <n v="1"/>
    <n v="716.42"/>
    <n v="0"/>
    <x v="0"/>
    <n v="333.98"/>
    <x v="2"/>
    <s v="Digital"/>
    <n v="333.98"/>
    <n v="716.42"/>
    <n v="382.43999999999994"/>
    <n v="0.53382094302224947"/>
    <x v="1"/>
    <s v="Apr"/>
    <n v="2024"/>
  </r>
  <r>
    <n v="100505"/>
    <x v="52"/>
    <x v="46"/>
    <s v="P0145"/>
    <x v="4"/>
    <n v="3"/>
    <n v="3747.99"/>
    <n v="5"/>
    <x v="0"/>
    <n v="1835.89"/>
    <x v="0"/>
    <s v="Digital"/>
    <n v="5507.67"/>
    <n v="10681.771499999999"/>
    <n v="5174.1014999999989"/>
    <n v="0.48438608708302733"/>
    <x v="1"/>
    <s v="Jun"/>
    <n v="2023"/>
  </r>
  <r>
    <n v="100506"/>
    <x v="361"/>
    <x v="1"/>
    <s v="P0198"/>
    <x v="3"/>
    <n v="2"/>
    <n v="3290.03"/>
    <n v="0"/>
    <x v="0"/>
    <n v="2091.46"/>
    <x v="2"/>
    <s v="NetBanking"/>
    <n v="4182.92"/>
    <n v="6580.06"/>
    <n v="2397.1400000000003"/>
    <n v="0.36430366896350491"/>
    <x v="1"/>
    <s v="Feb"/>
    <n v="2024"/>
  </r>
  <r>
    <n v="100507"/>
    <x v="362"/>
    <x v="41"/>
    <s v="P0090"/>
    <x v="3"/>
    <n v="3"/>
    <n v="4247.07"/>
    <n v="20"/>
    <x v="1"/>
    <n v="2187.88"/>
    <x v="1"/>
    <s v="UPI"/>
    <n v="6563.64"/>
    <n v="10192.968000000001"/>
    <n v="3629.3280000000004"/>
    <n v="0.35606194388131113"/>
    <x v="0"/>
    <s v="May"/>
    <n v="2023"/>
  </r>
  <r>
    <n v="100508"/>
    <x v="128"/>
    <x v="39"/>
    <s v="P0050"/>
    <x v="1"/>
    <n v="4"/>
    <n v="1253.8"/>
    <n v="10"/>
    <x v="0"/>
    <n v="714.25"/>
    <x v="2"/>
    <s v="UPI"/>
    <n v="2857"/>
    <n v="4513.68"/>
    <n v="1656.6800000000003"/>
    <n v="0.36703532372698111"/>
    <x v="0"/>
    <s v="May"/>
    <n v="2023"/>
  </r>
  <r>
    <n v="100509"/>
    <x v="50"/>
    <x v="44"/>
    <s v="P0118"/>
    <x v="0"/>
    <n v="3"/>
    <n v="423.12"/>
    <n v="10"/>
    <x v="0"/>
    <n v="172.32"/>
    <x v="0"/>
    <s v="UPI"/>
    <n v="516.96"/>
    <n v="1142.4240000000002"/>
    <n v="625.46400000000017"/>
    <n v="0.54748849814079537"/>
    <x v="0"/>
    <s v="Sep"/>
    <n v="2023"/>
  </r>
  <r>
    <n v="100510"/>
    <x v="6"/>
    <x v="49"/>
    <s v="P0147"/>
    <x v="6"/>
    <n v="1"/>
    <n v="3579.05"/>
    <n v="15"/>
    <x v="1"/>
    <n v="2429.7600000000002"/>
    <x v="2"/>
    <s v="NetBanking"/>
    <n v="2429.7600000000002"/>
    <n v="3042.1925000000001"/>
    <n v="612.43249999999989"/>
    <n v="0.20131286892594727"/>
    <x v="0"/>
    <s v="Jul"/>
    <n v="2024"/>
  </r>
  <r>
    <n v="100511"/>
    <x v="363"/>
    <x v="25"/>
    <s v="P0093"/>
    <x v="4"/>
    <n v="2"/>
    <n v="4307.82"/>
    <n v="30"/>
    <x v="2"/>
    <n v="2014.61"/>
    <x v="1"/>
    <s v="NetBanking"/>
    <n v="4029.22"/>
    <n v="6030.9479999999994"/>
    <n v="2001.7279999999996"/>
    <n v="0.33190934493217317"/>
    <x v="1"/>
    <s v="Aug"/>
    <n v="2024"/>
  </r>
  <r>
    <n v="100512"/>
    <x v="364"/>
    <x v="49"/>
    <s v="P0192"/>
    <x v="2"/>
    <n v="4"/>
    <n v="1174.68"/>
    <n v="5"/>
    <x v="0"/>
    <n v="752.73"/>
    <x v="0"/>
    <s v="UPI"/>
    <n v="3010.92"/>
    <n v="4463.7839999999997"/>
    <n v="1452.8639999999996"/>
    <n v="0.32547811453242353"/>
    <x v="0"/>
    <s v="Mar"/>
    <n v="2023"/>
  </r>
  <r>
    <n v="100513"/>
    <x v="347"/>
    <x v="44"/>
    <s v="P0039"/>
    <x v="4"/>
    <n v="1"/>
    <n v="3618.29"/>
    <n v="15"/>
    <x v="1"/>
    <n v="2132.44"/>
    <x v="0"/>
    <s v="Card"/>
    <n v="2132.44"/>
    <n v="3075.5464999999999"/>
    <n v="943.10649999999987"/>
    <n v="0.30664680244632941"/>
    <x v="1"/>
    <s v="Sep"/>
    <n v="2024"/>
  </r>
  <r>
    <n v="100514"/>
    <x v="78"/>
    <x v="6"/>
    <s v="P0070"/>
    <x v="4"/>
    <n v="2"/>
    <n v="4574.13"/>
    <n v="0"/>
    <x v="0"/>
    <n v="2900.29"/>
    <x v="0"/>
    <s v="UPI"/>
    <n v="5800.58"/>
    <n v="9148.26"/>
    <n v="3347.6800000000003"/>
    <n v="0.36593625454458006"/>
    <x v="0"/>
    <s v="Sep"/>
    <n v="2024"/>
  </r>
  <r>
    <n v="100515"/>
    <x v="216"/>
    <x v="35"/>
    <s v="P0057"/>
    <x v="0"/>
    <n v="1"/>
    <n v="1046.8699999999999"/>
    <n v="0"/>
    <x v="0"/>
    <n v="610.4"/>
    <x v="0"/>
    <s v="Card"/>
    <n v="610.4"/>
    <n v="1046.8699999999999"/>
    <n v="436.46999999999991"/>
    <n v="0.41692855846475679"/>
    <x v="0"/>
    <s v="Jul"/>
    <n v="2023"/>
  </r>
  <r>
    <n v="100516"/>
    <x v="365"/>
    <x v="12"/>
    <s v="P0158"/>
    <x v="5"/>
    <n v="3"/>
    <n v="4636.33"/>
    <n v="0"/>
    <x v="0"/>
    <n v="2511.12"/>
    <x v="0"/>
    <s v="UPI"/>
    <n v="7533.36"/>
    <n v="13908.99"/>
    <n v="6375.63"/>
    <n v="0.45838195296710976"/>
    <x v="0"/>
    <s v="Dec"/>
    <n v="2024"/>
  </r>
  <r>
    <n v="100517"/>
    <x v="76"/>
    <x v="19"/>
    <s v="P0135"/>
    <x v="0"/>
    <n v="4"/>
    <n v="568.16"/>
    <n v="10"/>
    <x v="0"/>
    <n v="275.36"/>
    <x v="2"/>
    <s v="UPI"/>
    <n v="1101.44"/>
    <n v="2045.376"/>
    <n v="943.93599999999992"/>
    <n v="0.46149754372790136"/>
    <x v="0"/>
    <s v="Aug"/>
    <n v="2023"/>
  </r>
  <r>
    <n v="100518"/>
    <x v="366"/>
    <x v="22"/>
    <s v="P0182"/>
    <x v="4"/>
    <n v="3"/>
    <n v="1595.38"/>
    <n v="5"/>
    <x v="0"/>
    <n v="1014.88"/>
    <x v="0"/>
    <s v="Digital"/>
    <n v="3044.64"/>
    <n v="4546.8330000000005"/>
    <n v="1502.1930000000007"/>
    <n v="0.33038226827332356"/>
    <x v="1"/>
    <s v="Feb"/>
    <n v="2024"/>
  </r>
  <r>
    <n v="100519"/>
    <x v="367"/>
    <x v="5"/>
    <s v="P0073"/>
    <x v="2"/>
    <n v="3"/>
    <n v="2413.7800000000002"/>
    <n v="15"/>
    <x v="1"/>
    <n v="1527.95"/>
    <x v="0"/>
    <s v="Card"/>
    <n v="4583.8500000000004"/>
    <n v="6155.1390000000001"/>
    <n v="1571.2889999999998"/>
    <n v="0.25528083118837769"/>
    <x v="0"/>
    <s v="Jul"/>
    <n v="2024"/>
  </r>
  <r>
    <n v="100520"/>
    <x v="368"/>
    <x v="20"/>
    <s v="P0107"/>
    <x v="6"/>
    <n v="1"/>
    <n v="4309.5200000000004"/>
    <n v="0"/>
    <x v="0"/>
    <n v="1783.93"/>
    <x v="0"/>
    <s v="NetBanking"/>
    <n v="1783.93"/>
    <n v="4309.5200000000004"/>
    <n v="2525.59"/>
    <n v="0.58604902634168077"/>
    <x v="0"/>
    <s v="Sep"/>
    <n v="2023"/>
  </r>
  <r>
    <n v="100521"/>
    <x v="330"/>
    <x v="6"/>
    <s v="P0070"/>
    <x v="6"/>
    <n v="1"/>
    <n v="1925.83"/>
    <n v="0"/>
    <x v="0"/>
    <n v="952.43"/>
    <x v="2"/>
    <s v="Card"/>
    <n v="952.43"/>
    <n v="1925.83"/>
    <n v="973.4"/>
    <n v="0.50544440578867289"/>
    <x v="1"/>
    <s v="Jun"/>
    <n v="2024"/>
  </r>
  <r>
    <n v="100522"/>
    <x v="38"/>
    <x v="17"/>
    <s v="P0148"/>
    <x v="3"/>
    <n v="3"/>
    <n v="1412.89"/>
    <n v="15"/>
    <x v="1"/>
    <n v="875.62"/>
    <x v="2"/>
    <s v="Cash"/>
    <n v="2626.86"/>
    <n v="3602.8694999999998"/>
    <n v="976.00949999999966"/>
    <n v="0.27089782186115807"/>
    <x v="1"/>
    <s v="Jul"/>
    <n v="2023"/>
  </r>
  <r>
    <n v="100523"/>
    <x v="218"/>
    <x v="29"/>
    <s v="P0154"/>
    <x v="0"/>
    <n v="4"/>
    <n v="2932.79"/>
    <n v="0"/>
    <x v="0"/>
    <n v="1997.37"/>
    <x v="0"/>
    <s v="Cash"/>
    <n v="7989.48"/>
    <n v="11731.16"/>
    <n v="3741.6800000000003"/>
    <n v="0.31895226047551994"/>
    <x v="0"/>
    <s v="Mar"/>
    <n v="2024"/>
  </r>
  <r>
    <n v="100524"/>
    <x v="283"/>
    <x v="30"/>
    <s v="P0058"/>
    <x v="3"/>
    <n v="4"/>
    <n v="4002.25"/>
    <n v="5"/>
    <x v="0"/>
    <n v="2350.63"/>
    <x v="2"/>
    <s v="Digital"/>
    <n v="9402.52"/>
    <n v="15208.55"/>
    <n v="5806.0299999999988"/>
    <n v="0.38176091737871126"/>
    <x v="0"/>
    <s v="Jun"/>
    <n v="2023"/>
  </r>
  <r>
    <n v="100525"/>
    <x v="37"/>
    <x v="11"/>
    <s v="P0165"/>
    <x v="6"/>
    <n v="1"/>
    <n v="1505.69"/>
    <n v="15"/>
    <x v="1"/>
    <n v="897.77"/>
    <x v="1"/>
    <s v="Card"/>
    <n v="897.77"/>
    <n v="1279.8365000000001"/>
    <n v="382.06650000000013"/>
    <n v="0.29852758535953622"/>
    <x v="0"/>
    <s v="Dec"/>
    <n v="2024"/>
  </r>
  <r>
    <n v="100526"/>
    <x v="94"/>
    <x v="29"/>
    <s v="P0140"/>
    <x v="1"/>
    <n v="4"/>
    <n v="1889.84"/>
    <n v="25"/>
    <x v="2"/>
    <n v="930.95"/>
    <x v="1"/>
    <s v="Card"/>
    <n v="3723.8"/>
    <n v="5669.5199999999995"/>
    <n v="1945.7199999999993"/>
    <n v="0.34318954691049675"/>
    <x v="0"/>
    <s v="Jan"/>
    <n v="2024"/>
  </r>
  <r>
    <n v="100527"/>
    <x v="296"/>
    <x v="8"/>
    <s v="P0196"/>
    <x v="6"/>
    <n v="1"/>
    <n v="1160.17"/>
    <n v="0"/>
    <x v="0"/>
    <n v="471.74"/>
    <x v="0"/>
    <s v="Cash"/>
    <n v="471.74"/>
    <n v="1160.17"/>
    <n v="688.43000000000006"/>
    <n v="0.59338717601730784"/>
    <x v="0"/>
    <s v="Sep"/>
    <n v="2024"/>
  </r>
  <r>
    <n v="100528"/>
    <x v="204"/>
    <x v="1"/>
    <s v="P0081"/>
    <x v="6"/>
    <n v="3"/>
    <n v="1479.54"/>
    <n v="0"/>
    <x v="0"/>
    <n v="969.37"/>
    <x v="0"/>
    <s v="NetBanking"/>
    <n v="2908.11"/>
    <n v="4438.62"/>
    <n v="1530.5099999999998"/>
    <n v="0.34481663219649344"/>
    <x v="0"/>
    <s v="Oct"/>
    <n v="2023"/>
  </r>
  <r>
    <n v="100529"/>
    <x v="129"/>
    <x v="4"/>
    <s v="P0169"/>
    <x v="1"/>
    <n v="4"/>
    <n v="839.41"/>
    <n v="0"/>
    <x v="0"/>
    <n v="552.37"/>
    <x v="2"/>
    <s v="UPI"/>
    <n v="2209.48"/>
    <n v="3357.64"/>
    <n v="1148.1599999999999"/>
    <n v="0.34195446801920393"/>
    <x v="1"/>
    <s v="Feb"/>
    <n v="2023"/>
  </r>
  <r>
    <n v="100530"/>
    <x v="369"/>
    <x v="19"/>
    <s v="P0198"/>
    <x v="4"/>
    <n v="3"/>
    <n v="3626.82"/>
    <n v="0"/>
    <x v="0"/>
    <n v="2042.12"/>
    <x v="1"/>
    <s v="Card"/>
    <n v="6126.36"/>
    <n v="10880.460000000001"/>
    <n v="4754.1000000000013"/>
    <n v="0.43693924705389303"/>
    <x v="0"/>
    <s v="May"/>
    <n v="2024"/>
  </r>
  <r>
    <n v="100531"/>
    <x v="191"/>
    <x v="36"/>
    <s v="P0022"/>
    <x v="1"/>
    <n v="2"/>
    <n v="2578.0700000000002"/>
    <n v="5"/>
    <x v="0"/>
    <n v="1159.44"/>
    <x v="0"/>
    <s v="Cash"/>
    <n v="2318.88"/>
    <n v="4898.3329999999996"/>
    <n v="2579.4529999999995"/>
    <n v="0.52659813042518744"/>
    <x v="0"/>
    <s v="May"/>
    <n v="2024"/>
  </r>
  <r>
    <n v="100532"/>
    <x v="370"/>
    <x v="28"/>
    <s v="P0112"/>
    <x v="1"/>
    <n v="4"/>
    <n v="1315.63"/>
    <n v="0"/>
    <x v="0"/>
    <n v="564.76"/>
    <x v="1"/>
    <s v="UPI"/>
    <n v="2259.04"/>
    <n v="5262.52"/>
    <n v="3003.4800000000005"/>
    <n v="0.57073037252114955"/>
    <x v="0"/>
    <s v="May"/>
    <n v="2023"/>
  </r>
  <r>
    <n v="100533"/>
    <x v="371"/>
    <x v="49"/>
    <s v="P0168"/>
    <x v="3"/>
    <n v="3"/>
    <n v="3359.58"/>
    <n v="30"/>
    <x v="2"/>
    <n v="1893.56"/>
    <x v="1"/>
    <s v="NetBanking"/>
    <n v="5680.68"/>
    <n v="7055.1179999999995"/>
    <n v="1374.4379999999992"/>
    <n v="0.19481431777611646"/>
    <x v="1"/>
    <s v="Dec"/>
    <n v="2023"/>
  </r>
  <r>
    <n v="100534"/>
    <x v="360"/>
    <x v="10"/>
    <s v="P0063"/>
    <x v="1"/>
    <n v="2"/>
    <n v="4090.1"/>
    <n v="25"/>
    <x v="2"/>
    <n v="2199.54"/>
    <x v="0"/>
    <s v="NetBanking"/>
    <n v="4399.08"/>
    <n v="6135.15"/>
    <n v="1736.0699999999997"/>
    <n v="0.28297107650179698"/>
    <x v="0"/>
    <s v="Dec"/>
    <n v="2024"/>
  </r>
  <r>
    <n v="100535"/>
    <x v="372"/>
    <x v="17"/>
    <s v="P0154"/>
    <x v="0"/>
    <n v="1"/>
    <n v="1246.4100000000001"/>
    <n v="5"/>
    <x v="0"/>
    <n v="595.27"/>
    <x v="2"/>
    <s v="Card"/>
    <n v="595.27"/>
    <n v="1184.0895"/>
    <n v="588.81950000000006"/>
    <n v="0.49727617718086348"/>
    <x v="1"/>
    <s v="Jun"/>
    <n v="2024"/>
  </r>
  <r>
    <n v="100536"/>
    <x v="308"/>
    <x v="33"/>
    <s v="P0120"/>
    <x v="2"/>
    <n v="3"/>
    <n v="3864.6"/>
    <n v="25"/>
    <x v="2"/>
    <n v="2420.14"/>
    <x v="2"/>
    <s v="NetBanking"/>
    <n v="7260.42"/>
    <n v="8695.3499999999985"/>
    <n v="1434.9299999999985"/>
    <n v="0.16502268453828756"/>
    <x v="0"/>
    <s v="Oct"/>
    <n v="2024"/>
  </r>
  <r>
    <n v="100537"/>
    <x v="70"/>
    <x v="39"/>
    <s v="P0014"/>
    <x v="2"/>
    <n v="4"/>
    <n v="4425.8"/>
    <n v="10"/>
    <x v="0"/>
    <n v="2938.18"/>
    <x v="1"/>
    <s v="Cash"/>
    <n v="11752.72"/>
    <n v="15932.880000000001"/>
    <n v="4180.1600000000017"/>
    <n v="0.26236060272844591"/>
    <x v="0"/>
    <s v="Aug"/>
    <n v="2024"/>
  </r>
  <r>
    <n v="100538"/>
    <x v="304"/>
    <x v="32"/>
    <s v="P0113"/>
    <x v="0"/>
    <n v="3"/>
    <n v="4749.2"/>
    <n v="20"/>
    <x v="1"/>
    <n v="2697.81"/>
    <x v="2"/>
    <s v="Digital"/>
    <n v="8093.43"/>
    <n v="11398.08"/>
    <n v="3304.6499999999996"/>
    <n v="0.28993040933209802"/>
    <x v="0"/>
    <s v="Jan"/>
    <n v="2023"/>
  </r>
  <r>
    <n v="100539"/>
    <x v="373"/>
    <x v="16"/>
    <s v="P0097"/>
    <x v="1"/>
    <n v="3"/>
    <n v="2896.81"/>
    <n v="30"/>
    <x v="2"/>
    <n v="1240.55"/>
    <x v="1"/>
    <s v="Card"/>
    <n v="3721.6499999999996"/>
    <n v="6083.3009999999995"/>
    <n v="2361.6509999999998"/>
    <n v="0.38821866614852696"/>
    <x v="0"/>
    <s v="Feb"/>
    <n v="2023"/>
  </r>
  <r>
    <n v="100540"/>
    <x v="374"/>
    <x v="37"/>
    <s v="P0023"/>
    <x v="2"/>
    <n v="2"/>
    <n v="2639.72"/>
    <n v="0"/>
    <x v="0"/>
    <n v="1139.4100000000001"/>
    <x v="0"/>
    <s v="Card"/>
    <n v="2278.8200000000002"/>
    <n v="5279.44"/>
    <n v="3000.6199999999994"/>
    <n v="0.56835952297970993"/>
    <x v="0"/>
    <s v="Mar"/>
    <n v="2024"/>
  </r>
  <r>
    <n v="100541"/>
    <x v="375"/>
    <x v="36"/>
    <s v="P0051"/>
    <x v="3"/>
    <n v="1"/>
    <n v="2167.69"/>
    <n v="5"/>
    <x v="0"/>
    <n v="927.82"/>
    <x v="2"/>
    <s v="NetBanking"/>
    <n v="927.82"/>
    <n v="2059.3054999999999"/>
    <n v="1131.4854999999998"/>
    <n v="0.54945004517299634"/>
    <x v="0"/>
    <s v="Dec"/>
    <n v="2024"/>
  </r>
  <r>
    <n v="100542"/>
    <x v="376"/>
    <x v="27"/>
    <s v="P0041"/>
    <x v="2"/>
    <n v="3"/>
    <n v="1257.7"/>
    <n v="0"/>
    <x v="0"/>
    <n v="700.54"/>
    <x v="1"/>
    <s v="Cash"/>
    <n v="2101.62"/>
    <n v="3773.1000000000004"/>
    <n v="1671.4800000000005"/>
    <n v="0.44299912538761238"/>
    <x v="0"/>
    <s v="May"/>
    <n v="2024"/>
  </r>
  <r>
    <n v="100543"/>
    <x v="377"/>
    <x v="45"/>
    <s v="P0143"/>
    <x v="6"/>
    <n v="4"/>
    <n v="1599.28"/>
    <n v="0"/>
    <x v="0"/>
    <n v="789.57"/>
    <x v="2"/>
    <s v="Cash"/>
    <n v="3158.28"/>
    <n v="6397.12"/>
    <n v="3238.8399999999997"/>
    <n v="0.50629658346255813"/>
    <x v="0"/>
    <s v="Jul"/>
    <n v="2024"/>
  </r>
  <r>
    <n v="100544"/>
    <x v="378"/>
    <x v="20"/>
    <s v="P0198"/>
    <x v="5"/>
    <n v="4"/>
    <n v="4515.7"/>
    <n v="15"/>
    <x v="1"/>
    <n v="2510.9899999999998"/>
    <x v="0"/>
    <s v="NetBanking"/>
    <n v="10043.959999999999"/>
    <n v="15353.38"/>
    <n v="5309.42"/>
    <n v="0.34581440699051286"/>
    <x v="0"/>
    <s v="Apr"/>
    <n v="2024"/>
  </r>
  <r>
    <n v="100545"/>
    <x v="30"/>
    <x v="16"/>
    <s v="P0027"/>
    <x v="2"/>
    <n v="4"/>
    <n v="1080.3599999999999"/>
    <n v="15"/>
    <x v="1"/>
    <n v="630.98"/>
    <x v="1"/>
    <s v="Card"/>
    <n v="2523.92"/>
    <n v="3673.2239999999997"/>
    <n v="1149.3039999999996"/>
    <n v="0.31288698973980344"/>
    <x v="1"/>
    <s v="Sep"/>
    <n v="2023"/>
  </r>
  <r>
    <n v="100546"/>
    <x v="76"/>
    <x v="5"/>
    <s v="P0129"/>
    <x v="3"/>
    <n v="2"/>
    <n v="1093.6099999999999"/>
    <n v="20"/>
    <x v="1"/>
    <n v="603.79999999999995"/>
    <x v="2"/>
    <s v="Digital"/>
    <n v="1207.5999999999999"/>
    <n v="1749.7759999999998"/>
    <n v="542.17599999999993"/>
    <n v="0.30985451852122786"/>
    <x v="0"/>
    <s v="Aug"/>
    <n v="2023"/>
  </r>
  <r>
    <n v="100547"/>
    <x v="213"/>
    <x v="11"/>
    <s v="P0107"/>
    <x v="6"/>
    <n v="3"/>
    <n v="1165.8599999999999"/>
    <n v="25"/>
    <x v="2"/>
    <n v="779.02"/>
    <x v="2"/>
    <s v="UPI"/>
    <n v="2337.06"/>
    <n v="2623.1849999999999"/>
    <n v="286.125"/>
    <n v="0.10907541786034916"/>
    <x v="0"/>
    <s v="Nov"/>
    <n v="2024"/>
  </r>
  <r>
    <n v="100548"/>
    <x v="379"/>
    <x v="47"/>
    <s v="P0137"/>
    <x v="2"/>
    <n v="1"/>
    <n v="2369.52"/>
    <n v="15"/>
    <x v="1"/>
    <n v="1385.2"/>
    <x v="2"/>
    <s v="Digital"/>
    <n v="1385.2"/>
    <n v="2014.0919999999999"/>
    <n v="628.89199999999983"/>
    <n v="0.31224591528093049"/>
    <x v="0"/>
    <s v="Jun"/>
    <n v="2024"/>
  </r>
  <r>
    <n v="100549"/>
    <x v="380"/>
    <x v="43"/>
    <s v="P0063"/>
    <x v="4"/>
    <n v="4"/>
    <n v="3776.73"/>
    <n v="15"/>
    <x v="1"/>
    <n v="1872.88"/>
    <x v="0"/>
    <s v="Cash"/>
    <n v="7491.52"/>
    <n v="12840.882"/>
    <n v="5349.3619999999992"/>
    <n v="0.41658836207668598"/>
    <x v="0"/>
    <s v="May"/>
    <n v="2023"/>
  </r>
  <r>
    <n v="100550"/>
    <x v="381"/>
    <x v="22"/>
    <s v="P0162"/>
    <x v="0"/>
    <n v="1"/>
    <n v="4925.32"/>
    <n v="10"/>
    <x v="0"/>
    <n v="2957.04"/>
    <x v="0"/>
    <s v="Digital"/>
    <n v="2957.04"/>
    <n v="4432.7879999999996"/>
    <n v="1475.7479999999996"/>
    <n v="0.33291643994704906"/>
    <x v="0"/>
    <s v="Sep"/>
    <n v="2023"/>
  </r>
  <r>
    <n v="100551"/>
    <x v="382"/>
    <x v="30"/>
    <s v="P0128"/>
    <x v="4"/>
    <n v="4"/>
    <n v="4986.2700000000004"/>
    <n v="0"/>
    <x v="0"/>
    <n v="3460.15"/>
    <x v="2"/>
    <s v="NetBanking"/>
    <n v="13840.6"/>
    <n v="19945.080000000002"/>
    <n v="6104.4800000000014"/>
    <n v="0.30606445298790486"/>
    <x v="0"/>
    <s v="Jul"/>
    <n v="2024"/>
  </r>
  <r>
    <n v="100552"/>
    <x v="246"/>
    <x v="15"/>
    <s v="P0025"/>
    <x v="1"/>
    <n v="3"/>
    <n v="3528.25"/>
    <n v="25"/>
    <x v="2"/>
    <n v="1509.77"/>
    <x v="0"/>
    <s v="Card"/>
    <n v="4529.3099999999995"/>
    <n v="7938.5625"/>
    <n v="3409.2525000000005"/>
    <n v="0.42945463993008814"/>
    <x v="1"/>
    <s v="Jul"/>
    <n v="2023"/>
  </r>
  <r>
    <n v="100553"/>
    <x v="121"/>
    <x v="10"/>
    <s v="P0189"/>
    <x v="2"/>
    <n v="4"/>
    <n v="4484.21"/>
    <n v="20"/>
    <x v="1"/>
    <n v="1900.51"/>
    <x v="2"/>
    <s v="NetBanking"/>
    <n v="7602.04"/>
    <n v="14349.472000000002"/>
    <n v="6747.4320000000016"/>
    <n v="0.47022162209173973"/>
    <x v="1"/>
    <s v="Oct"/>
    <n v="2024"/>
  </r>
  <r>
    <n v="100554"/>
    <x v="383"/>
    <x v="5"/>
    <s v="P0134"/>
    <x v="4"/>
    <n v="4"/>
    <n v="4333.43"/>
    <n v="15"/>
    <x v="1"/>
    <n v="2798.18"/>
    <x v="2"/>
    <s v="Card"/>
    <n v="11192.72"/>
    <n v="14733.662"/>
    <n v="3540.9420000000009"/>
    <n v="0.24033006865502962"/>
    <x v="1"/>
    <s v="Mar"/>
    <n v="2024"/>
  </r>
  <r>
    <n v="100555"/>
    <x v="384"/>
    <x v="30"/>
    <s v="P0175"/>
    <x v="6"/>
    <n v="3"/>
    <n v="3870.04"/>
    <n v="0"/>
    <x v="0"/>
    <n v="2695.17"/>
    <x v="0"/>
    <s v="NetBanking"/>
    <n v="8085.51"/>
    <n v="11610.119999999999"/>
    <n v="3524.6099999999988"/>
    <n v="0.30358084154168941"/>
    <x v="0"/>
    <s v="Mar"/>
    <n v="2024"/>
  </r>
  <r>
    <n v="100556"/>
    <x v="227"/>
    <x v="10"/>
    <s v="P0131"/>
    <x v="2"/>
    <n v="4"/>
    <n v="2458.5500000000002"/>
    <n v="10"/>
    <x v="0"/>
    <n v="1247.32"/>
    <x v="0"/>
    <s v="Card"/>
    <n v="4989.28"/>
    <n v="8850.7800000000007"/>
    <n v="3861.5000000000009"/>
    <n v="0.43628923100562894"/>
    <x v="0"/>
    <s v="Aug"/>
    <n v="2023"/>
  </r>
  <r>
    <n v="100557"/>
    <x v="385"/>
    <x v="38"/>
    <s v="P0156"/>
    <x v="5"/>
    <n v="4"/>
    <n v="1875.48"/>
    <n v="25"/>
    <x v="2"/>
    <n v="847.96"/>
    <x v="0"/>
    <s v="UPI"/>
    <n v="3391.84"/>
    <n v="5626.4400000000005"/>
    <n v="2234.6000000000004"/>
    <n v="0.39716054912164711"/>
    <x v="0"/>
    <s v="Oct"/>
    <n v="2023"/>
  </r>
  <r>
    <n v="100558"/>
    <x v="386"/>
    <x v="16"/>
    <s v="P0180"/>
    <x v="0"/>
    <n v="4"/>
    <n v="709.74"/>
    <n v="5"/>
    <x v="0"/>
    <n v="437"/>
    <x v="1"/>
    <s v="Cash"/>
    <n v="1748"/>
    <n v="2697.0119999999997"/>
    <n v="949.01199999999972"/>
    <n v="0.35187533462958259"/>
    <x v="0"/>
    <s v="Nov"/>
    <n v="2024"/>
  </r>
  <r>
    <n v="100559"/>
    <x v="387"/>
    <x v="10"/>
    <s v="P0075"/>
    <x v="0"/>
    <n v="2"/>
    <n v="1935.32"/>
    <n v="20"/>
    <x v="1"/>
    <n v="1035.5999999999999"/>
    <x v="2"/>
    <s v="Digital"/>
    <n v="2071.1999999999998"/>
    <n v="3096.5120000000002"/>
    <n v="1025.3120000000004"/>
    <n v="0.33111836802182593"/>
    <x v="0"/>
    <s v="Nov"/>
    <n v="2023"/>
  </r>
  <r>
    <n v="100560"/>
    <x v="92"/>
    <x v="28"/>
    <s v="P0069"/>
    <x v="2"/>
    <n v="1"/>
    <n v="2346.88"/>
    <n v="0"/>
    <x v="0"/>
    <n v="1345.17"/>
    <x v="2"/>
    <s v="Digital"/>
    <n v="1345.17"/>
    <n v="2346.88"/>
    <n v="1001.71"/>
    <n v="0.42682625443141531"/>
    <x v="1"/>
    <s v="Sep"/>
    <n v="2023"/>
  </r>
  <r>
    <n v="100561"/>
    <x v="204"/>
    <x v="42"/>
    <s v="P0125"/>
    <x v="2"/>
    <n v="4"/>
    <n v="2515.0500000000002"/>
    <n v="15"/>
    <x v="1"/>
    <n v="1744.77"/>
    <x v="0"/>
    <s v="UPI"/>
    <n v="6979.08"/>
    <n v="8551.17"/>
    <n v="1572.0900000000001"/>
    <n v="0.1838450176993324"/>
    <x v="0"/>
    <s v="Oct"/>
    <n v="2023"/>
  </r>
  <r>
    <n v="100562"/>
    <x v="388"/>
    <x v="3"/>
    <s v="P0156"/>
    <x v="2"/>
    <n v="4"/>
    <n v="799.82"/>
    <n v="0"/>
    <x v="0"/>
    <n v="395.49"/>
    <x v="2"/>
    <s v="Cash"/>
    <n v="1581.96"/>
    <n v="3199.28"/>
    <n v="1617.3200000000002"/>
    <n v="0.50552624340476604"/>
    <x v="0"/>
    <s v="Sep"/>
    <n v="2023"/>
  </r>
  <r>
    <n v="100563"/>
    <x v="234"/>
    <x v="27"/>
    <s v="P0001"/>
    <x v="0"/>
    <n v="3"/>
    <n v="1121.94"/>
    <n v="0"/>
    <x v="0"/>
    <n v="736.8"/>
    <x v="2"/>
    <s v="Card"/>
    <n v="2210.3999999999996"/>
    <n v="3365.82"/>
    <n v="1155.4200000000005"/>
    <n v="0.34328038932563254"/>
    <x v="0"/>
    <s v="May"/>
    <n v="2023"/>
  </r>
  <r>
    <n v="100564"/>
    <x v="163"/>
    <x v="27"/>
    <s v="P0004"/>
    <x v="6"/>
    <n v="4"/>
    <n v="641.54999999999995"/>
    <n v="30"/>
    <x v="2"/>
    <n v="271.45"/>
    <x v="0"/>
    <s v="UPI"/>
    <n v="1085.8"/>
    <n v="1796.3399999999997"/>
    <n v="710.53999999999974"/>
    <n v="0.39554872685571768"/>
    <x v="0"/>
    <s v="Aug"/>
    <n v="2024"/>
  </r>
  <r>
    <n v="100565"/>
    <x v="389"/>
    <x v="32"/>
    <s v="P0021"/>
    <x v="6"/>
    <n v="2"/>
    <n v="2709.48"/>
    <n v="30"/>
    <x v="2"/>
    <n v="1331.96"/>
    <x v="2"/>
    <s v="UPI"/>
    <n v="2663.92"/>
    <n v="3793.2719999999999"/>
    <n v="1129.3519999999999"/>
    <n v="0.29772502472799206"/>
    <x v="0"/>
    <s v="Jul"/>
    <n v="2023"/>
  </r>
  <r>
    <n v="100566"/>
    <x v="64"/>
    <x v="35"/>
    <s v="P0145"/>
    <x v="4"/>
    <n v="3"/>
    <n v="3886.83"/>
    <n v="20"/>
    <x v="1"/>
    <n v="2030.84"/>
    <x v="2"/>
    <s v="NetBanking"/>
    <n v="6092.5199999999995"/>
    <n v="9328.3919999999998"/>
    <n v="3235.8720000000003"/>
    <n v="0.34688422184659484"/>
    <x v="0"/>
    <s v="Oct"/>
    <n v="2024"/>
  </r>
  <r>
    <n v="100567"/>
    <x v="273"/>
    <x v="13"/>
    <s v="P0115"/>
    <x v="3"/>
    <n v="3"/>
    <n v="4094.76"/>
    <n v="0"/>
    <x v="0"/>
    <n v="1710.5"/>
    <x v="2"/>
    <s v="NetBanking"/>
    <n v="5131.5"/>
    <n v="12284.28"/>
    <n v="7152.7800000000007"/>
    <n v="0.58227100000976861"/>
    <x v="0"/>
    <s v="Jul"/>
    <n v="2023"/>
  </r>
  <r>
    <n v="100568"/>
    <x v="390"/>
    <x v="3"/>
    <s v="P0091"/>
    <x v="4"/>
    <n v="1"/>
    <n v="4408.87"/>
    <n v="25"/>
    <x v="2"/>
    <n v="1763.8"/>
    <x v="0"/>
    <s v="NetBanking"/>
    <n v="1763.8"/>
    <n v="3306.6525000000001"/>
    <n v="1542.8525000000002"/>
    <n v="0.46659045666274279"/>
    <x v="0"/>
    <s v="Mar"/>
    <n v="2024"/>
  </r>
  <r>
    <n v="100569"/>
    <x v="78"/>
    <x v="11"/>
    <s v="P0072"/>
    <x v="3"/>
    <n v="2"/>
    <n v="2401.16"/>
    <n v="0"/>
    <x v="0"/>
    <n v="1292.08"/>
    <x v="1"/>
    <s v="Card"/>
    <n v="2584.16"/>
    <n v="4802.32"/>
    <n v="2218.16"/>
    <n v="0.46189341818121243"/>
    <x v="0"/>
    <s v="Sep"/>
    <n v="2024"/>
  </r>
  <r>
    <n v="100570"/>
    <x v="391"/>
    <x v="35"/>
    <s v="P0084"/>
    <x v="6"/>
    <n v="2"/>
    <n v="2087.88"/>
    <n v="0"/>
    <x v="0"/>
    <n v="1446.98"/>
    <x v="2"/>
    <s v="Digital"/>
    <n v="2893.96"/>
    <n v="4175.76"/>
    <n v="1281.8000000000002"/>
    <n v="0.30696208594363661"/>
    <x v="0"/>
    <s v="May"/>
    <n v="2024"/>
  </r>
  <r>
    <n v="100571"/>
    <x v="75"/>
    <x v="48"/>
    <s v="P0102"/>
    <x v="2"/>
    <n v="1"/>
    <n v="497.52"/>
    <n v="30"/>
    <x v="2"/>
    <n v="309.44"/>
    <x v="1"/>
    <s v="UPI"/>
    <n v="309.44"/>
    <n v="348.26399999999995"/>
    <n v="38.823999999999955"/>
    <n v="0.11147864838168735"/>
    <x v="1"/>
    <s v="Jun"/>
    <n v="2023"/>
  </r>
  <r>
    <n v="100572"/>
    <x v="392"/>
    <x v="10"/>
    <s v="P0179"/>
    <x v="6"/>
    <n v="3"/>
    <n v="899.03"/>
    <n v="15"/>
    <x v="1"/>
    <n v="550.48"/>
    <x v="1"/>
    <s v="NetBanking"/>
    <n v="1651.44"/>
    <n v="2292.5264999999999"/>
    <n v="641.08649999999989"/>
    <n v="0.27964191471723443"/>
    <x v="0"/>
    <s v="Sep"/>
    <n v="2024"/>
  </r>
  <r>
    <n v="100573"/>
    <x v="337"/>
    <x v="35"/>
    <s v="P0071"/>
    <x v="3"/>
    <n v="3"/>
    <n v="3843.62"/>
    <n v="25"/>
    <x v="2"/>
    <n v="2465.5700000000002"/>
    <x v="0"/>
    <s v="NetBanking"/>
    <n v="7396.7100000000009"/>
    <n v="8648.1450000000004"/>
    <n v="1251.4349999999995"/>
    <n v="0.14470559871510011"/>
    <x v="0"/>
    <s v="Jun"/>
    <n v="2023"/>
  </r>
  <r>
    <n v="100574"/>
    <x v="393"/>
    <x v="14"/>
    <s v="P0121"/>
    <x v="0"/>
    <n v="2"/>
    <n v="3715.35"/>
    <n v="0"/>
    <x v="0"/>
    <n v="1825.82"/>
    <x v="0"/>
    <s v="Card"/>
    <n v="3651.64"/>
    <n v="7430.7"/>
    <n v="3779.06"/>
    <n v="0.50857388940476667"/>
    <x v="0"/>
    <s v="Jan"/>
    <n v="2024"/>
  </r>
  <r>
    <n v="100575"/>
    <x v="394"/>
    <x v="39"/>
    <s v="P0166"/>
    <x v="6"/>
    <n v="4"/>
    <n v="3284.92"/>
    <n v="10"/>
    <x v="0"/>
    <n v="1757.28"/>
    <x v="0"/>
    <s v="Card"/>
    <n v="7029.12"/>
    <n v="11825.712000000001"/>
    <n v="4796.5920000000015"/>
    <n v="0.40560703659957226"/>
    <x v="1"/>
    <s v="Apr"/>
    <n v="2023"/>
  </r>
  <r>
    <n v="100576"/>
    <x v="395"/>
    <x v="29"/>
    <s v="P0009"/>
    <x v="5"/>
    <n v="1"/>
    <n v="2841.28"/>
    <n v="0"/>
    <x v="0"/>
    <n v="1218.8"/>
    <x v="1"/>
    <s v="Cash"/>
    <n v="1218.8"/>
    <n v="2841.28"/>
    <n v="1622.4800000000002"/>
    <n v="0.57103840522581373"/>
    <x v="0"/>
    <s v="Oct"/>
    <n v="2023"/>
  </r>
  <r>
    <n v="100577"/>
    <x v="64"/>
    <x v="43"/>
    <s v="P0053"/>
    <x v="2"/>
    <n v="4"/>
    <n v="2965.7"/>
    <n v="0"/>
    <x v="0"/>
    <n v="1438.81"/>
    <x v="2"/>
    <s v="Card"/>
    <n v="5755.24"/>
    <n v="11862.8"/>
    <n v="6107.5599999999995"/>
    <n v="0.51484978251340319"/>
    <x v="0"/>
    <s v="Oct"/>
    <n v="2024"/>
  </r>
  <r>
    <n v="100578"/>
    <x v="113"/>
    <x v="40"/>
    <s v="P0196"/>
    <x v="2"/>
    <n v="3"/>
    <n v="1363.85"/>
    <n v="5"/>
    <x v="0"/>
    <n v="844.32"/>
    <x v="1"/>
    <s v="Card"/>
    <n v="2532.96"/>
    <n v="3886.9724999999994"/>
    <n v="1354.0124999999994"/>
    <n v="0.34834630293885527"/>
    <x v="0"/>
    <s v="Feb"/>
    <n v="2023"/>
  </r>
  <r>
    <n v="100579"/>
    <x v="160"/>
    <x v="21"/>
    <s v="P0110"/>
    <x v="5"/>
    <n v="3"/>
    <n v="4543.6099999999997"/>
    <n v="0"/>
    <x v="0"/>
    <n v="2979.15"/>
    <x v="2"/>
    <s v="Digital"/>
    <n v="8937.4500000000007"/>
    <n v="13630.829999999998"/>
    <n v="4693.3799999999974"/>
    <n v="0.34432092543153997"/>
    <x v="1"/>
    <s v="Sep"/>
    <n v="2024"/>
  </r>
  <r>
    <n v="100580"/>
    <x v="396"/>
    <x v="12"/>
    <s v="P0016"/>
    <x v="1"/>
    <n v="2"/>
    <n v="4493.82"/>
    <n v="0"/>
    <x v="0"/>
    <n v="2047.38"/>
    <x v="1"/>
    <s v="Cash"/>
    <n v="4094.76"/>
    <n v="8987.64"/>
    <n v="4892.8799999999992"/>
    <n v="0.5444009773422166"/>
    <x v="0"/>
    <s v="Nov"/>
    <n v="2024"/>
  </r>
  <r>
    <n v="100581"/>
    <x v="123"/>
    <x v="44"/>
    <s v="P0035"/>
    <x v="5"/>
    <n v="1"/>
    <n v="4239.32"/>
    <n v="30"/>
    <x v="2"/>
    <n v="2058.56"/>
    <x v="2"/>
    <s v="UPI"/>
    <n v="2058.56"/>
    <n v="2967.5239999999994"/>
    <n v="908.96399999999949"/>
    <n v="0.30630384118207626"/>
    <x v="0"/>
    <s v="Sep"/>
    <n v="2023"/>
  </r>
  <r>
    <n v="100582"/>
    <x v="173"/>
    <x v="0"/>
    <s v="P0069"/>
    <x v="6"/>
    <n v="3"/>
    <n v="4978.5600000000004"/>
    <n v="20"/>
    <x v="1"/>
    <n v="3269.46"/>
    <x v="2"/>
    <s v="NetBanking"/>
    <n v="9808.380000000001"/>
    <n v="11948.544000000002"/>
    <n v="2140.1640000000007"/>
    <n v="0.17911504531430777"/>
    <x v="0"/>
    <s v="Oct"/>
    <n v="2024"/>
  </r>
  <r>
    <n v="100583"/>
    <x v="206"/>
    <x v="13"/>
    <s v="P0189"/>
    <x v="5"/>
    <n v="4"/>
    <n v="4207.46"/>
    <n v="10"/>
    <x v="0"/>
    <n v="2439.04"/>
    <x v="2"/>
    <s v="Card"/>
    <n v="9756.16"/>
    <n v="15146.856"/>
    <n v="5390.6959999999999"/>
    <n v="0.3558953752514713"/>
    <x v="0"/>
    <s v="Jul"/>
    <n v="2023"/>
  </r>
  <r>
    <n v="100584"/>
    <x v="397"/>
    <x v="41"/>
    <s v="P0065"/>
    <x v="6"/>
    <n v="1"/>
    <n v="3445.24"/>
    <n v="15"/>
    <x v="1"/>
    <n v="2235.2199999999998"/>
    <x v="2"/>
    <s v="UPI"/>
    <n v="2235.2199999999998"/>
    <n v="2928.4539999999997"/>
    <n v="693.23399999999992"/>
    <n v="0.23672354081710006"/>
    <x v="1"/>
    <s v="Dec"/>
    <n v="2024"/>
  </r>
  <r>
    <n v="100585"/>
    <x v="398"/>
    <x v="7"/>
    <s v="P0182"/>
    <x v="3"/>
    <n v="4"/>
    <n v="2732"/>
    <n v="25"/>
    <x v="2"/>
    <n v="1445.58"/>
    <x v="0"/>
    <s v="Cash"/>
    <n v="5782.32"/>
    <n v="8196"/>
    <n v="2413.6800000000003"/>
    <n v="0.29449487554904835"/>
    <x v="0"/>
    <s v="Nov"/>
    <n v="2023"/>
  </r>
  <r>
    <n v="100586"/>
    <x v="80"/>
    <x v="19"/>
    <s v="P0026"/>
    <x v="1"/>
    <n v="4"/>
    <n v="2482.84"/>
    <n v="25"/>
    <x v="2"/>
    <n v="1095.57"/>
    <x v="2"/>
    <s v="Card"/>
    <n v="4382.28"/>
    <n v="7448.52"/>
    <n v="3066.2400000000007"/>
    <n v="0.41165761788919147"/>
    <x v="1"/>
    <s v="Oct"/>
    <n v="2024"/>
  </r>
  <r>
    <n v="100587"/>
    <x v="155"/>
    <x v="47"/>
    <s v="P0020"/>
    <x v="0"/>
    <n v="4"/>
    <n v="2383.89"/>
    <n v="15"/>
    <x v="1"/>
    <n v="1387.73"/>
    <x v="1"/>
    <s v="Cash"/>
    <n v="5550.92"/>
    <n v="8105.2259999999997"/>
    <n v="2554.3059999999996"/>
    <n v="0.31514309409756119"/>
    <x v="0"/>
    <s v="Jul"/>
    <n v="2024"/>
  </r>
  <r>
    <n v="100588"/>
    <x v="10"/>
    <x v="19"/>
    <s v="P0092"/>
    <x v="1"/>
    <n v="1"/>
    <n v="3602.38"/>
    <n v="5"/>
    <x v="0"/>
    <n v="1697.55"/>
    <x v="0"/>
    <s v="Digital"/>
    <n v="1697.55"/>
    <n v="3422.261"/>
    <n v="1724.711"/>
    <n v="0.50396828295679374"/>
    <x v="1"/>
    <s v="Mar"/>
    <n v="2024"/>
  </r>
  <r>
    <n v="100589"/>
    <x v="163"/>
    <x v="30"/>
    <s v="P0086"/>
    <x v="0"/>
    <n v="4"/>
    <n v="1400.67"/>
    <n v="0"/>
    <x v="0"/>
    <n v="890.86"/>
    <x v="1"/>
    <s v="Card"/>
    <n v="3563.44"/>
    <n v="5602.68"/>
    <n v="2039.2400000000002"/>
    <n v="0.36397581157588871"/>
    <x v="0"/>
    <s v="Aug"/>
    <n v="2024"/>
  </r>
  <r>
    <n v="100590"/>
    <x v="106"/>
    <x v="31"/>
    <s v="P0001"/>
    <x v="3"/>
    <n v="4"/>
    <n v="4767.5"/>
    <n v="5"/>
    <x v="0"/>
    <n v="2766.08"/>
    <x v="0"/>
    <s v="UPI"/>
    <n v="11064.32"/>
    <n v="18116.5"/>
    <n v="7052.18"/>
    <n v="0.38926834653492676"/>
    <x v="0"/>
    <s v="Dec"/>
    <n v="2023"/>
  </r>
  <r>
    <n v="100591"/>
    <x v="161"/>
    <x v="29"/>
    <s v="P0145"/>
    <x v="5"/>
    <n v="4"/>
    <n v="3280.29"/>
    <n v="5"/>
    <x v="0"/>
    <n v="1381.92"/>
    <x v="1"/>
    <s v="Card"/>
    <n v="5527.68"/>
    <n v="12465.101999999999"/>
    <n v="6937.4219999999987"/>
    <n v="0.55654755171678494"/>
    <x v="1"/>
    <s v="Oct"/>
    <n v="2024"/>
  </r>
  <r>
    <n v="100592"/>
    <x v="102"/>
    <x v="7"/>
    <s v="P0124"/>
    <x v="5"/>
    <n v="1"/>
    <n v="2520.7199999999998"/>
    <n v="0"/>
    <x v="0"/>
    <n v="1042.81"/>
    <x v="1"/>
    <s v="UPI"/>
    <n v="1042.81"/>
    <n v="2520.7199999999998"/>
    <n v="1477.9099999999999"/>
    <n v="0.58630470659176737"/>
    <x v="0"/>
    <s v="Oct"/>
    <n v="2024"/>
  </r>
  <r>
    <n v="100593"/>
    <x v="182"/>
    <x v="49"/>
    <s v="P0142"/>
    <x v="3"/>
    <n v="2"/>
    <n v="4866.2"/>
    <n v="0"/>
    <x v="0"/>
    <n v="2430.1999999999998"/>
    <x v="0"/>
    <s v="Cash"/>
    <n v="4860.3999999999996"/>
    <n v="9732.4"/>
    <n v="4872"/>
    <n v="0.50059594755661507"/>
    <x v="0"/>
    <s v="Feb"/>
    <n v="2024"/>
  </r>
  <r>
    <n v="100594"/>
    <x v="119"/>
    <x v="2"/>
    <s v="P0141"/>
    <x v="2"/>
    <n v="3"/>
    <n v="2403.1"/>
    <n v="15"/>
    <x v="1"/>
    <n v="1303.17"/>
    <x v="2"/>
    <s v="NetBanking"/>
    <n v="3909.51"/>
    <n v="6127.9049999999988"/>
    <n v="2218.3949999999986"/>
    <n v="0.36201524011876801"/>
    <x v="0"/>
    <s v="Nov"/>
    <n v="2024"/>
  </r>
  <r>
    <n v="100595"/>
    <x v="29"/>
    <x v="47"/>
    <s v="P0136"/>
    <x v="2"/>
    <n v="1"/>
    <n v="325.88"/>
    <n v="5"/>
    <x v="0"/>
    <n v="131.1"/>
    <x v="2"/>
    <s v="Card"/>
    <n v="131.1"/>
    <n v="309.58599999999996"/>
    <n v="178.48599999999996"/>
    <n v="0.57653123849269661"/>
    <x v="1"/>
    <s v="Jul"/>
    <n v="2023"/>
  </r>
  <r>
    <n v="100596"/>
    <x v="288"/>
    <x v="17"/>
    <s v="P0177"/>
    <x v="6"/>
    <n v="3"/>
    <n v="4266.45"/>
    <n v="30"/>
    <x v="2"/>
    <n v="2071.2399999999998"/>
    <x v="0"/>
    <s v="NetBanking"/>
    <n v="6213.7199999999993"/>
    <n v="8959.5449999999983"/>
    <n v="2745.8249999999989"/>
    <n v="0.30646924592710895"/>
    <x v="0"/>
    <s v="Dec"/>
    <n v="2023"/>
  </r>
  <r>
    <n v="100597"/>
    <x v="343"/>
    <x v="15"/>
    <s v="P0009"/>
    <x v="0"/>
    <n v="4"/>
    <n v="2709.54"/>
    <n v="10"/>
    <x v="0"/>
    <n v="1322.38"/>
    <x v="1"/>
    <s v="Digital"/>
    <n v="5289.52"/>
    <n v="9754.344000000001"/>
    <n v="4464.8240000000005"/>
    <n v="0.45772673180277423"/>
    <x v="0"/>
    <s v="Jan"/>
    <n v="2024"/>
  </r>
  <r>
    <n v="100598"/>
    <x v="382"/>
    <x v="30"/>
    <s v="P0167"/>
    <x v="5"/>
    <n v="4"/>
    <n v="709.34"/>
    <n v="25"/>
    <x v="2"/>
    <n v="415.05"/>
    <x v="0"/>
    <s v="Card"/>
    <n v="1660.2"/>
    <n v="2128.02"/>
    <n v="467.81999999999994"/>
    <n v="0.21983815941579493"/>
    <x v="0"/>
    <s v="Jul"/>
    <n v="2024"/>
  </r>
  <r>
    <n v="100599"/>
    <x v="369"/>
    <x v="46"/>
    <s v="P0147"/>
    <x v="6"/>
    <n v="3"/>
    <n v="4408.8500000000004"/>
    <n v="5"/>
    <x v="0"/>
    <n v="2416.33"/>
    <x v="2"/>
    <s v="Digital"/>
    <n v="7248.99"/>
    <n v="12565.2225"/>
    <n v="5316.2325000000001"/>
    <n v="0.4230909958021038"/>
    <x v="0"/>
    <s v="May"/>
    <n v="2024"/>
  </r>
  <r>
    <n v="100600"/>
    <x v="122"/>
    <x v="23"/>
    <s v="P0168"/>
    <x v="4"/>
    <n v="3"/>
    <n v="918"/>
    <n v="30"/>
    <x v="2"/>
    <n v="442.86"/>
    <x v="1"/>
    <s v="UPI"/>
    <n v="1328.58"/>
    <n v="1927.8"/>
    <n v="599.22"/>
    <n v="0.31083099906629319"/>
    <x v="1"/>
    <s v="Jan"/>
    <n v="2023"/>
  </r>
  <r>
    <n v="100601"/>
    <x v="399"/>
    <x v="31"/>
    <s v="P0012"/>
    <x v="2"/>
    <n v="4"/>
    <n v="3730.34"/>
    <n v="0"/>
    <x v="0"/>
    <n v="2479.4699999999998"/>
    <x v="0"/>
    <s v="Digital"/>
    <n v="9917.8799999999992"/>
    <n v="14921.36"/>
    <n v="5003.4800000000014"/>
    <n v="0.3353233217347481"/>
    <x v="0"/>
    <s v="Apr"/>
    <n v="2023"/>
  </r>
  <r>
    <n v="100602"/>
    <x v="67"/>
    <x v="24"/>
    <s v="P0197"/>
    <x v="2"/>
    <n v="1"/>
    <n v="1754.05"/>
    <n v="30"/>
    <x v="2"/>
    <n v="1135.1099999999999"/>
    <x v="2"/>
    <s v="Digital"/>
    <n v="1135.1099999999999"/>
    <n v="1227.8349999999998"/>
    <n v="92.724999999999909"/>
    <n v="7.5519104765705433E-2"/>
    <x v="0"/>
    <s v="Apr"/>
    <n v="2023"/>
  </r>
  <r>
    <n v="100603"/>
    <x v="181"/>
    <x v="8"/>
    <s v="P0175"/>
    <x v="3"/>
    <n v="4"/>
    <n v="4355.54"/>
    <n v="30"/>
    <x v="2"/>
    <n v="1744.97"/>
    <x v="2"/>
    <s v="UPI"/>
    <n v="6979.88"/>
    <n v="12195.511999999999"/>
    <n v="5215.6319999999987"/>
    <n v="0.42766814546203546"/>
    <x v="0"/>
    <s v="Oct"/>
    <n v="2024"/>
  </r>
  <r>
    <n v="100604"/>
    <x v="327"/>
    <x v="40"/>
    <s v="P0194"/>
    <x v="5"/>
    <n v="3"/>
    <n v="490.63"/>
    <n v="15"/>
    <x v="1"/>
    <n v="324.54000000000002"/>
    <x v="1"/>
    <s v="UPI"/>
    <n v="973.62000000000012"/>
    <n v="1251.1064999999999"/>
    <n v="277.48649999999975"/>
    <n v="0.22179286895240316"/>
    <x v="1"/>
    <s v="Oct"/>
    <n v="2024"/>
  </r>
  <r>
    <n v="100605"/>
    <x v="115"/>
    <x v="10"/>
    <s v="P0147"/>
    <x v="0"/>
    <n v="4"/>
    <n v="2104.04"/>
    <n v="10"/>
    <x v="0"/>
    <n v="1129.5999999999999"/>
    <x v="2"/>
    <s v="Card"/>
    <n v="4518.3999999999996"/>
    <n v="7574.5439999999999"/>
    <n v="3056.1440000000002"/>
    <n v="0.4034756415699744"/>
    <x v="0"/>
    <s v="Aug"/>
    <n v="2024"/>
  </r>
  <r>
    <n v="100606"/>
    <x v="398"/>
    <x v="18"/>
    <s v="P0122"/>
    <x v="4"/>
    <n v="3"/>
    <n v="2269.0500000000002"/>
    <n v="30"/>
    <x v="2"/>
    <n v="1418.96"/>
    <x v="1"/>
    <s v="Cash"/>
    <n v="4256.88"/>
    <n v="4765.0050000000001"/>
    <n v="508.125"/>
    <n v="0.10663682409567252"/>
    <x v="0"/>
    <s v="Nov"/>
    <n v="2023"/>
  </r>
  <r>
    <n v="100607"/>
    <x v="400"/>
    <x v="47"/>
    <s v="P0194"/>
    <x v="1"/>
    <n v="3"/>
    <n v="1967.43"/>
    <n v="0"/>
    <x v="0"/>
    <n v="1342.81"/>
    <x v="0"/>
    <s v="UPI"/>
    <n v="4028.43"/>
    <n v="5902.29"/>
    <n v="1873.8600000000001"/>
    <n v="0.31748016447853294"/>
    <x v="1"/>
    <s v="Apr"/>
    <n v="2023"/>
  </r>
  <r>
    <n v="100608"/>
    <x v="169"/>
    <x v="1"/>
    <s v="P0051"/>
    <x v="5"/>
    <n v="3"/>
    <n v="3090.21"/>
    <n v="5"/>
    <x v="0"/>
    <n v="1245.48"/>
    <x v="1"/>
    <s v="NetBanking"/>
    <n v="3736.44"/>
    <n v="8807.0985000000001"/>
    <n v="5070.6584999999995"/>
    <n v="0.57574676835963623"/>
    <x v="1"/>
    <s v="Jul"/>
    <n v="2023"/>
  </r>
  <r>
    <n v="100609"/>
    <x v="178"/>
    <x v="4"/>
    <s v="P0198"/>
    <x v="6"/>
    <n v="2"/>
    <n v="843.97"/>
    <n v="0"/>
    <x v="0"/>
    <n v="376.66"/>
    <x v="2"/>
    <s v="NetBanking"/>
    <n v="753.32"/>
    <n v="1687.94"/>
    <n v="934.62"/>
    <n v="0.55370451556334943"/>
    <x v="1"/>
    <s v="Mar"/>
    <n v="2023"/>
  </r>
  <r>
    <n v="100610"/>
    <x v="34"/>
    <x v="0"/>
    <s v="P0144"/>
    <x v="5"/>
    <n v="3"/>
    <n v="3782.61"/>
    <n v="5"/>
    <x v="0"/>
    <n v="2114.4699999999998"/>
    <x v="0"/>
    <s v="Digital"/>
    <n v="6343.41"/>
    <n v="10780.4385"/>
    <n v="4437.0285000000003"/>
    <n v="0.41158144912194439"/>
    <x v="0"/>
    <s v="Jan"/>
    <n v="2024"/>
  </r>
  <r>
    <n v="100611"/>
    <x v="123"/>
    <x v="9"/>
    <s v="P0163"/>
    <x v="6"/>
    <n v="2"/>
    <n v="968.04"/>
    <n v="5"/>
    <x v="0"/>
    <n v="390.62"/>
    <x v="0"/>
    <s v="NetBanking"/>
    <n v="781.24"/>
    <n v="1839.2759999999998"/>
    <n v="1058.0359999999998"/>
    <n v="0.57524591197840891"/>
    <x v="0"/>
    <s v="Sep"/>
    <n v="2023"/>
  </r>
  <r>
    <n v="100612"/>
    <x v="401"/>
    <x v="48"/>
    <s v="P0062"/>
    <x v="1"/>
    <n v="3"/>
    <n v="2584.1999999999998"/>
    <n v="0"/>
    <x v="0"/>
    <n v="1481.16"/>
    <x v="0"/>
    <s v="Cash"/>
    <n v="4443.4800000000005"/>
    <n v="7752.5999999999995"/>
    <n v="3309.119999999999"/>
    <n v="0.42684002786162051"/>
    <x v="1"/>
    <s v="Dec"/>
    <n v="2023"/>
  </r>
  <r>
    <n v="100613"/>
    <x v="62"/>
    <x v="11"/>
    <s v="P0038"/>
    <x v="6"/>
    <n v="1"/>
    <n v="1315.44"/>
    <n v="15"/>
    <x v="1"/>
    <n v="710.31"/>
    <x v="1"/>
    <s v="NetBanking"/>
    <n v="710.31"/>
    <n v="1118.124"/>
    <n v="407.81400000000008"/>
    <n v="0.3647305665561244"/>
    <x v="0"/>
    <s v="Feb"/>
    <n v="2024"/>
  </r>
  <r>
    <n v="100614"/>
    <x v="165"/>
    <x v="1"/>
    <s v="P0099"/>
    <x v="4"/>
    <n v="4"/>
    <n v="2120.75"/>
    <n v="10"/>
    <x v="0"/>
    <n v="1390.26"/>
    <x v="0"/>
    <s v="UPI"/>
    <n v="5561.04"/>
    <n v="7634.7"/>
    <n v="2073.66"/>
    <n v="0.27160988643954576"/>
    <x v="1"/>
    <s v="Feb"/>
    <n v="2024"/>
  </r>
  <r>
    <n v="100615"/>
    <x v="101"/>
    <x v="26"/>
    <s v="P0030"/>
    <x v="5"/>
    <n v="1"/>
    <n v="1594.29"/>
    <n v="0"/>
    <x v="0"/>
    <n v="784.22"/>
    <x v="1"/>
    <s v="NetBanking"/>
    <n v="784.22"/>
    <n v="1594.29"/>
    <n v="810.06999999999994"/>
    <n v="0.50810705705988246"/>
    <x v="0"/>
    <s v="Sep"/>
    <n v="2024"/>
  </r>
  <r>
    <n v="100616"/>
    <x v="232"/>
    <x v="43"/>
    <s v="P0156"/>
    <x v="4"/>
    <n v="4"/>
    <n v="1363.51"/>
    <n v="20"/>
    <x v="1"/>
    <n v="702.58"/>
    <x v="0"/>
    <s v="Cash"/>
    <n v="2810.32"/>
    <n v="4363.232"/>
    <n v="1552.9119999999998"/>
    <n v="0.3559086475346715"/>
    <x v="0"/>
    <s v="Jul"/>
    <n v="2023"/>
  </r>
  <r>
    <n v="100617"/>
    <x v="402"/>
    <x v="35"/>
    <s v="P0075"/>
    <x v="2"/>
    <n v="4"/>
    <n v="4608.1899999999996"/>
    <n v="25"/>
    <x v="2"/>
    <n v="2439.09"/>
    <x v="2"/>
    <s v="NetBanking"/>
    <n v="9756.36"/>
    <n v="13824.57"/>
    <n v="4068.2099999999991"/>
    <n v="0.29427389061648929"/>
    <x v="0"/>
    <s v="Dec"/>
    <n v="2023"/>
  </r>
  <r>
    <n v="100618"/>
    <x v="403"/>
    <x v="32"/>
    <s v="P0100"/>
    <x v="5"/>
    <n v="4"/>
    <n v="357.86"/>
    <n v="15"/>
    <x v="1"/>
    <n v="182.87"/>
    <x v="1"/>
    <s v="UPI"/>
    <n v="731.48"/>
    <n v="1216.7239999999999"/>
    <n v="485.24399999999991"/>
    <n v="0.39881189160401204"/>
    <x v="0"/>
    <s v="Apr"/>
    <n v="2023"/>
  </r>
  <r>
    <n v="100619"/>
    <x v="226"/>
    <x v="19"/>
    <s v="P0156"/>
    <x v="4"/>
    <n v="4"/>
    <n v="3535.5"/>
    <n v="0"/>
    <x v="0"/>
    <n v="1811.47"/>
    <x v="2"/>
    <s v="NetBanking"/>
    <n v="7245.88"/>
    <n v="14142"/>
    <n v="6896.12"/>
    <n v="0.487633998020082"/>
    <x v="0"/>
    <s v="Mar"/>
    <n v="2024"/>
  </r>
  <r>
    <n v="100620"/>
    <x v="404"/>
    <x v="45"/>
    <s v="P0047"/>
    <x v="4"/>
    <n v="1"/>
    <n v="3334.98"/>
    <n v="25"/>
    <x v="2"/>
    <n v="1378.79"/>
    <x v="0"/>
    <s v="Digital"/>
    <n v="1378.79"/>
    <n v="2501.2350000000001"/>
    <n v="1122.4450000000002"/>
    <n v="0.44875631438069596"/>
    <x v="0"/>
    <s v="Jul"/>
    <n v="2023"/>
  </r>
  <r>
    <n v="100621"/>
    <x v="405"/>
    <x v="47"/>
    <s v="P0171"/>
    <x v="4"/>
    <n v="4"/>
    <n v="1896.91"/>
    <n v="10"/>
    <x v="0"/>
    <n v="1053.1099999999999"/>
    <x v="2"/>
    <s v="Card"/>
    <n v="4212.4399999999996"/>
    <n v="6828.8760000000002"/>
    <n v="2616.4360000000006"/>
    <n v="0.3831429945425866"/>
    <x v="0"/>
    <s v="Feb"/>
    <n v="2024"/>
  </r>
  <r>
    <n v="100622"/>
    <x v="406"/>
    <x v="18"/>
    <s v="P0069"/>
    <x v="2"/>
    <n v="3"/>
    <n v="637.04999999999995"/>
    <n v="0"/>
    <x v="0"/>
    <n v="333.11"/>
    <x v="0"/>
    <s v="UPI"/>
    <n v="999.33"/>
    <n v="1911.1499999999999"/>
    <n v="911.81999999999982"/>
    <n v="0.47710540773879595"/>
    <x v="0"/>
    <s v="Jul"/>
    <n v="2024"/>
  </r>
  <r>
    <n v="100623"/>
    <x v="407"/>
    <x v="20"/>
    <s v="P0065"/>
    <x v="0"/>
    <n v="4"/>
    <n v="2013.59"/>
    <n v="20"/>
    <x v="1"/>
    <n v="937.06"/>
    <x v="2"/>
    <s v="NetBanking"/>
    <n v="3748.24"/>
    <n v="6443.4880000000003"/>
    <n v="2695.2480000000005"/>
    <n v="0.41829021796890137"/>
    <x v="1"/>
    <s v="Jul"/>
    <n v="2023"/>
  </r>
  <r>
    <n v="100624"/>
    <x v="408"/>
    <x v="18"/>
    <s v="P0088"/>
    <x v="1"/>
    <n v="3"/>
    <n v="3534.89"/>
    <n v="15"/>
    <x v="1"/>
    <n v="1563.01"/>
    <x v="0"/>
    <s v="NetBanking"/>
    <n v="4689.03"/>
    <n v="9013.9694999999992"/>
    <n v="4324.9394999999995"/>
    <n v="0.47980409740680841"/>
    <x v="0"/>
    <s v="Jan"/>
    <n v="2024"/>
  </r>
  <r>
    <n v="100625"/>
    <x v="139"/>
    <x v="33"/>
    <s v="P0155"/>
    <x v="6"/>
    <n v="3"/>
    <n v="2799.99"/>
    <n v="25"/>
    <x v="2"/>
    <n v="1234.06"/>
    <x v="1"/>
    <s v="Digital"/>
    <n v="3702.18"/>
    <n v="6299.9774999999991"/>
    <n v="2597.7974999999992"/>
    <n v="0.41235028220338876"/>
    <x v="1"/>
    <s v="Oct"/>
    <n v="2024"/>
  </r>
  <r>
    <n v="100626"/>
    <x v="409"/>
    <x v="17"/>
    <s v="P0051"/>
    <x v="3"/>
    <n v="2"/>
    <n v="445.49"/>
    <n v="10"/>
    <x v="0"/>
    <n v="230.05"/>
    <x v="2"/>
    <s v="Cash"/>
    <n v="460.1"/>
    <n v="801.88200000000006"/>
    <n v="341.78200000000004"/>
    <n v="0.4262248061435473"/>
    <x v="0"/>
    <s v="Aug"/>
    <n v="2023"/>
  </r>
  <r>
    <n v="100627"/>
    <x v="410"/>
    <x v="40"/>
    <s v="P0030"/>
    <x v="2"/>
    <n v="2"/>
    <n v="1772.07"/>
    <n v="0"/>
    <x v="0"/>
    <n v="787.01"/>
    <x v="0"/>
    <s v="UPI"/>
    <n v="1574.02"/>
    <n v="3544.14"/>
    <n v="1970.12"/>
    <n v="0.55588097535650394"/>
    <x v="1"/>
    <s v="Sep"/>
    <n v="2023"/>
  </r>
  <r>
    <n v="100628"/>
    <x v="411"/>
    <x v="43"/>
    <s v="P0124"/>
    <x v="0"/>
    <n v="2"/>
    <n v="4530.3900000000003"/>
    <n v="5"/>
    <x v="0"/>
    <n v="1970"/>
    <x v="0"/>
    <s v="Card"/>
    <n v="3940"/>
    <n v="8607.741"/>
    <n v="4667.741"/>
    <n v="0.54227247311460691"/>
    <x v="0"/>
    <s v="Jun"/>
    <n v="2023"/>
  </r>
  <r>
    <n v="100629"/>
    <x v="206"/>
    <x v="27"/>
    <s v="P0113"/>
    <x v="4"/>
    <n v="1"/>
    <n v="2527.83"/>
    <n v="20"/>
    <x v="1"/>
    <n v="1347.94"/>
    <x v="2"/>
    <s v="Card"/>
    <n v="1347.94"/>
    <n v="2022.2640000000001"/>
    <n v="674.32400000000007"/>
    <n v="0.33345003421907327"/>
    <x v="0"/>
    <s v="Jul"/>
    <n v="2023"/>
  </r>
  <r>
    <n v="100630"/>
    <x v="317"/>
    <x v="10"/>
    <s v="P0145"/>
    <x v="5"/>
    <n v="1"/>
    <n v="1655.51"/>
    <n v="30"/>
    <x v="2"/>
    <n v="1139.55"/>
    <x v="0"/>
    <s v="Digital"/>
    <n v="1139.55"/>
    <n v="1158.857"/>
    <n v="19.307000000000016"/>
    <n v="1.6660381738212753E-2"/>
    <x v="0"/>
    <s v="May"/>
    <n v="2024"/>
  </r>
  <r>
    <n v="100631"/>
    <x v="95"/>
    <x v="2"/>
    <s v="P0165"/>
    <x v="1"/>
    <n v="1"/>
    <n v="4862.49"/>
    <n v="0"/>
    <x v="0"/>
    <n v="3073.39"/>
    <x v="2"/>
    <s v="Digital"/>
    <n v="3073.39"/>
    <n v="4862.49"/>
    <n v="1789.1"/>
    <n v="0.36793906002891524"/>
    <x v="0"/>
    <s v="Mar"/>
    <n v="2023"/>
  </r>
  <r>
    <n v="100632"/>
    <x v="412"/>
    <x v="16"/>
    <s v="P0087"/>
    <x v="5"/>
    <n v="1"/>
    <n v="2902.44"/>
    <n v="30"/>
    <x v="2"/>
    <n v="1632.66"/>
    <x v="0"/>
    <s v="Digital"/>
    <n v="1632.66"/>
    <n v="2031.7079999999999"/>
    <n v="399.04799999999977"/>
    <n v="0.19641011405182232"/>
    <x v="1"/>
    <s v="Jan"/>
    <n v="2024"/>
  </r>
  <r>
    <n v="100633"/>
    <x v="399"/>
    <x v="13"/>
    <s v="P0051"/>
    <x v="3"/>
    <n v="3"/>
    <n v="1974.07"/>
    <n v="5"/>
    <x v="0"/>
    <n v="1279.29"/>
    <x v="1"/>
    <s v="UPI"/>
    <n v="3837.87"/>
    <n v="5626.0994999999994"/>
    <n v="1788.2294999999995"/>
    <n v="0.31784533849783492"/>
    <x v="0"/>
    <s v="Apr"/>
    <n v="2023"/>
  </r>
  <r>
    <n v="100634"/>
    <x v="413"/>
    <x v="38"/>
    <s v="P0044"/>
    <x v="6"/>
    <n v="2"/>
    <n v="570.94000000000005"/>
    <n v="10"/>
    <x v="0"/>
    <n v="287.02999999999997"/>
    <x v="1"/>
    <s v="Digital"/>
    <n v="574.05999999999995"/>
    <n v="1027.6920000000002"/>
    <n v="453.63200000000029"/>
    <n v="0.44140851539177128"/>
    <x v="1"/>
    <s v="Jun"/>
    <n v="2024"/>
  </r>
  <r>
    <n v="100635"/>
    <x v="70"/>
    <x v="6"/>
    <s v="P0191"/>
    <x v="4"/>
    <n v="3"/>
    <n v="2921.23"/>
    <n v="30"/>
    <x v="2"/>
    <n v="1472.83"/>
    <x v="0"/>
    <s v="Cash"/>
    <n v="4418.49"/>
    <n v="6134.5829999999996"/>
    <n v="1716.0929999999998"/>
    <n v="0.27974077455631458"/>
    <x v="0"/>
    <s v="Aug"/>
    <n v="2024"/>
  </r>
  <r>
    <n v="100636"/>
    <x v="18"/>
    <x v="13"/>
    <s v="P0179"/>
    <x v="4"/>
    <n v="4"/>
    <n v="4998.6499999999996"/>
    <n v="0"/>
    <x v="0"/>
    <n v="2225.1799999999998"/>
    <x v="1"/>
    <s v="Digital"/>
    <n v="8900.7199999999993"/>
    <n v="19994.599999999999"/>
    <n v="11093.88"/>
    <n v="0.5548438078281136"/>
    <x v="0"/>
    <s v="May"/>
    <n v="2023"/>
  </r>
  <r>
    <n v="100637"/>
    <x v="414"/>
    <x v="45"/>
    <s v="P0152"/>
    <x v="4"/>
    <n v="1"/>
    <n v="4971.09"/>
    <n v="15"/>
    <x v="1"/>
    <n v="3301.27"/>
    <x v="0"/>
    <s v="NetBanking"/>
    <n v="3301.27"/>
    <n v="4225.4264999999996"/>
    <n v="924.1564999999996"/>
    <n v="0.2187131878876605"/>
    <x v="0"/>
    <s v="Apr"/>
    <n v="2023"/>
  </r>
  <r>
    <n v="100638"/>
    <x v="278"/>
    <x v="37"/>
    <s v="P0028"/>
    <x v="5"/>
    <n v="2"/>
    <n v="2468.79"/>
    <n v="10"/>
    <x v="0"/>
    <n v="1528.79"/>
    <x v="0"/>
    <s v="Cash"/>
    <n v="3057.58"/>
    <n v="4443.8220000000001"/>
    <n v="1386.2420000000002"/>
    <n v="0.31194813833677409"/>
    <x v="0"/>
    <s v="Jun"/>
    <n v="2024"/>
  </r>
  <r>
    <n v="100639"/>
    <x v="80"/>
    <x v="43"/>
    <s v="P0064"/>
    <x v="5"/>
    <n v="1"/>
    <n v="2535.0700000000002"/>
    <n v="20"/>
    <x v="1"/>
    <n v="1427.01"/>
    <x v="1"/>
    <s v="Card"/>
    <n v="1427.01"/>
    <n v="2028.0560000000003"/>
    <n v="601.04600000000028"/>
    <n v="0.29636558359335252"/>
    <x v="1"/>
    <s v="Oct"/>
    <n v="2024"/>
  </r>
  <r>
    <n v="100640"/>
    <x v="63"/>
    <x v="47"/>
    <s v="P0047"/>
    <x v="4"/>
    <n v="3"/>
    <n v="4574.4399999999996"/>
    <n v="25"/>
    <x v="2"/>
    <n v="2820.8"/>
    <x v="0"/>
    <s v="Card"/>
    <n v="8462.4000000000015"/>
    <n v="10292.49"/>
    <n v="1830.0899999999983"/>
    <n v="0.17780828545862065"/>
    <x v="0"/>
    <s v="Nov"/>
    <n v="2024"/>
  </r>
  <r>
    <n v="100641"/>
    <x v="415"/>
    <x v="37"/>
    <s v="P0005"/>
    <x v="1"/>
    <n v="4"/>
    <n v="478.51"/>
    <n v="0"/>
    <x v="0"/>
    <n v="298.47000000000003"/>
    <x v="1"/>
    <s v="NetBanking"/>
    <n v="1193.8800000000001"/>
    <n v="1914.04"/>
    <n v="720.15999999999985"/>
    <n v="0.37625128001504665"/>
    <x v="0"/>
    <s v="May"/>
    <n v="2024"/>
  </r>
  <r>
    <n v="100642"/>
    <x v="416"/>
    <x v="18"/>
    <s v="P0070"/>
    <x v="5"/>
    <n v="1"/>
    <n v="3499.55"/>
    <n v="0"/>
    <x v="0"/>
    <n v="1889.88"/>
    <x v="0"/>
    <s v="Cash"/>
    <n v="1889.88"/>
    <n v="3499.55"/>
    <n v="1609.67"/>
    <n v="0.45996485262390879"/>
    <x v="0"/>
    <s v="Jun"/>
    <n v="2024"/>
  </r>
  <r>
    <n v="100643"/>
    <x v="417"/>
    <x v="0"/>
    <s v="P0052"/>
    <x v="3"/>
    <n v="1"/>
    <n v="4760.83"/>
    <n v="5"/>
    <x v="0"/>
    <n v="2636.88"/>
    <x v="0"/>
    <s v="Cash"/>
    <n v="2636.88"/>
    <n v="4522.7884999999997"/>
    <n v="1885.9084999999995"/>
    <n v="0.41697914903604261"/>
    <x v="0"/>
    <s v="Sep"/>
    <n v="2024"/>
  </r>
  <r>
    <n v="100644"/>
    <x v="418"/>
    <x v="20"/>
    <s v="P0102"/>
    <x v="2"/>
    <n v="4"/>
    <n v="2612.08"/>
    <n v="10"/>
    <x v="0"/>
    <n v="1281.8399999999999"/>
    <x v="2"/>
    <s v="Card"/>
    <n v="5127.3599999999997"/>
    <n v="9403.4879999999994"/>
    <n v="4276.1279999999997"/>
    <n v="0.45473849703429198"/>
    <x v="0"/>
    <s v="Aug"/>
    <n v="2023"/>
  </r>
  <r>
    <n v="100645"/>
    <x v="361"/>
    <x v="46"/>
    <s v="P0155"/>
    <x v="6"/>
    <n v="3"/>
    <n v="1255.1500000000001"/>
    <n v="10"/>
    <x v="0"/>
    <n v="788.91"/>
    <x v="0"/>
    <s v="NetBanking"/>
    <n v="2366.73"/>
    <n v="3388.9050000000002"/>
    <n v="1022.1750000000002"/>
    <n v="0.3016239758860163"/>
    <x v="1"/>
    <s v="Feb"/>
    <n v="2024"/>
  </r>
  <r>
    <n v="100646"/>
    <x v="333"/>
    <x v="19"/>
    <s v="P0179"/>
    <x v="0"/>
    <n v="3"/>
    <n v="4618.05"/>
    <n v="15"/>
    <x v="1"/>
    <n v="2349.11"/>
    <x v="1"/>
    <s v="Card"/>
    <n v="7047.33"/>
    <n v="11776.0275"/>
    <n v="4728.6975000000002"/>
    <n v="0.4015528581263928"/>
    <x v="0"/>
    <s v="Apr"/>
    <n v="2024"/>
  </r>
  <r>
    <n v="100647"/>
    <x v="419"/>
    <x v="19"/>
    <s v="P0004"/>
    <x v="5"/>
    <n v="1"/>
    <n v="4909.47"/>
    <n v="30"/>
    <x v="2"/>
    <n v="2564.09"/>
    <x v="2"/>
    <s v="Digital"/>
    <n v="2564.09"/>
    <n v="3436.6289999999999"/>
    <n v="872.53899999999976"/>
    <n v="0.25389385936043718"/>
    <x v="1"/>
    <s v="Nov"/>
    <n v="2024"/>
  </r>
  <r>
    <n v="100648"/>
    <x v="342"/>
    <x v="45"/>
    <s v="P0072"/>
    <x v="6"/>
    <n v="3"/>
    <n v="4793.42"/>
    <n v="15"/>
    <x v="1"/>
    <n v="2205.66"/>
    <x v="0"/>
    <s v="NetBanking"/>
    <n v="6616.98"/>
    <n v="12223.221"/>
    <n v="5606.241"/>
    <n v="0.45865496500472341"/>
    <x v="1"/>
    <s v="Nov"/>
    <n v="2023"/>
  </r>
  <r>
    <n v="100649"/>
    <x v="42"/>
    <x v="40"/>
    <s v="P0063"/>
    <x v="2"/>
    <n v="4"/>
    <n v="314.89"/>
    <n v="0"/>
    <x v="0"/>
    <n v="186.43"/>
    <x v="1"/>
    <s v="UPI"/>
    <n v="745.72"/>
    <n v="1259.56"/>
    <n v="513.83999999999992"/>
    <n v="0.4079519832322398"/>
    <x v="1"/>
    <s v="May"/>
    <n v="2023"/>
  </r>
  <r>
    <n v="100650"/>
    <x v="369"/>
    <x v="11"/>
    <s v="P0189"/>
    <x v="5"/>
    <n v="2"/>
    <n v="1503.42"/>
    <n v="5"/>
    <x v="0"/>
    <n v="615.26"/>
    <x v="2"/>
    <s v="Card"/>
    <n v="1230.52"/>
    <n v="2856.498"/>
    <n v="1625.9780000000001"/>
    <n v="0.56922077312849506"/>
    <x v="0"/>
    <s v="May"/>
    <n v="2024"/>
  </r>
  <r>
    <n v="100651"/>
    <x v="4"/>
    <x v="18"/>
    <s v="P0093"/>
    <x v="2"/>
    <n v="3"/>
    <n v="3749.94"/>
    <n v="25"/>
    <x v="2"/>
    <n v="2357.88"/>
    <x v="0"/>
    <s v="Cash"/>
    <n v="7073.64"/>
    <n v="8437.3649999999998"/>
    <n v="1363.7249999999995"/>
    <n v="0.16162925273471035"/>
    <x v="1"/>
    <s v="Jan"/>
    <n v="2023"/>
  </r>
  <r>
    <n v="100652"/>
    <x v="310"/>
    <x v="12"/>
    <s v="P0126"/>
    <x v="3"/>
    <n v="2"/>
    <n v="3696.72"/>
    <n v="20"/>
    <x v="1"/>
    <n v="2246.7199999999998"/>
    <x v="0"/>
    <s v="Digital"/>
    <n v="4493.4399999999996"/>
    <n v="5914.7520000000004"/>
    <n v="1421.3120000000008"/>
    <n v="0.24029950875370612"/>
    <x v="0"/>
    <s v="Nov"/>
    <n v="2023"/>
  </r>
  <r>
    <n v="100653"/>
    <x v="359"/>
    <x v="9"/>
    <s v="P0035"/>
    <x v="1"/>
    <n v="1"/>
    <n v="1985.96"/>
    <n v="25"/>
    <x v="2"/>
    <n v="1273.6600000000001"/>
    <x v="2"/>
    <s v="NetBanking"/>
    <n v="1273.6600000000001"/>
    <n v="1489.47"/>
    <n v="215.80999999999995"/>
    <n v="0.14489046439337477"/>
    <x v="0"/>
    <s v="Oct"/>
    <n v="2024"/>
  </r>
  <r>
    <n v="100654"/>
    <x v="254"/>
    <x v="37"/>
    <s v="P0019"/>
    <x v="4"/>
    <n v="4"/>
    <n v="2784.32"/>
    <n v="5"/>
    <x v="0"/>
    <n v="1776.45"/>
    <x v="0"/>
    <s v="Digital"/>
    <n v="7105.8"/>
    <n v="10580.415999999999"/>
    <n v="3474.6159999999991"/>
    <n v="0.32840069804438687"/>
    <x v="0"/>
    <s v="Jun"/>
    <n v="2023"/>
  </r>
  <r>
    <n v="100655"/>
    <x v="103"/>
    <x v="17"/>
    <s v="P0030"/>
    <x v="0"/>
    <n v="2"/>
    <n v="3481.06"/>
    <n v="10"/>
    <x v="0"/>
    <n v="2257.61"/>
    <x v="0"/>
    <s v="Digital"/>
    <n v="4515.22"/>
    <n v="6265.9080000000004"/>
    <n v="1750.6880000000001"/>
    <n v="0.27939893148766309"/>
    <x v="0"/>
    <s v="Nov"/>
    <n v="2023"/>
  </r>
  <r>
    <n v="100656"/>
    <x v="420"/>
    <x v="17"/>
    <s v="P0001"/>
    <x v="2"/>
    <n v="3"/>
    <n v="507.56"/>
    <n v="5"/>
    <x v="0"/>
    <n v="255.07"/>
    <x v="0"/>
    <s v="Cash"/>
    <n v="765.21"/>
    <n v="1446.546"/>
    <n v="681.33600000000001"/>
    <n v="0.47100887216860021"/>
    <x v="0"/>
    <s v="Jul"/>
    <n v="2024"/>
  </r>
  <r>
    <n v="100657"/>
    <x v="216"/>
    <x v="47"/>
    <s v="P0128"/>
    <x v="5"/>
    <n v="3"/>
    <n v="971.4"/>
    <n v="15"/>
    <x v="1"/>
    <n v="608.12"/>
    <x v="1"/>
    <s v="UPI"/>
    <n v="1824.3600000000001"/>
    <n v="2477.0699999999997"/>
    <n v="652.70999999999958"/>
    <n v="0.2635008296091752"/>
    <x v="0"/>
    <s v="Jul"/>
    <n v="2023"/>
  </r>
  <r>
    <n v="100658"/>
    <x v="183"/>
    <x v="25"/>
    <s v="P0191"/>
    <x v="1"/>
    <n v="1"/>
    <n v="3900.74"/>
    <n v="10"/>
    <x v="0"/>
    <n v="2550.21"/>
    <x v="0"/>
    <s v="Digital"/>
    <n v="2550.21"/>
    <n v="3510.6659999999997"/>
    <n v="960.45599999999968"/>
    <n v="0.27358227755075526"/>
    <x v="0"/>
    <s v="Jul"/>
    <n v="2023"/>
  </r>
  <r>
    <n v="100659"/>
    <x v="94"/>
    <x v="11"/>
    <s v="P0004"/>
    <x v="1"/>
    <n v="4"/>
    <n v="2175.77"/>
    <n v="10"/>
    <x v="0"/>
    <n v="1342.33"/>
    <x v="0"/>
    <s v="Card"/>
    <n v="5369.32"/>
    <n v="7832.7719999999999"/>
    <n v="2463.4520000000002"/>
    <n v="0.31450577139229896"/>
    <x v="0"/>
    <s v="Jan"/>
    <n v="2024"/>
  </r>
  <r>
    <n v="100660"/>
    <x v="421"/>
    <x v="22"/>
    <s v="P0003"/>
    <x v="6"/>
    <n v="2"/>
    <n v="415.14"/>
    <n v="0"/>
    <x v="0"/>
    <n v="204.18"/>
    <x v="2"/>
    <s v="Card"/>
    <n v="408.36"/>
    <n v="830.28"/>
    <n v="421.91999999999996"/>
    <n v="0.50816591993062576"/>
    <x v="0"/>
    <s v="Aug"/>
    <n v="2024"/>
  </r>
  <r>
    <n v="100661"/>
    <x v="422"/>
    <x v="31"/>
    <s v="P0045"/>
    <x v="4"/>
    <n v="2"/>
    <n v="4098.71"/>
    <n v="10"/>
    <x v="0"/>
    <n v="2804.77"/>
    <x v="1"/>
    <s v="Card"/>
    <n v="5609.54"/>
    <n v="7377.6779999999999"/>
    <n v="1768.1379999999999"/>
    <n v="0.23966050022784946"/>
    <x v="0"/>
    <s v="Oct"/>
    <n v="2023"/>
  </r>
  <r>
    <n v="100662"/>
    <x v="353"/>
    <x v="45"/>
    <s v="P0168"/>
    <x v="6"/>
    <n v="1"/>
    <n v="774.42"/>
    <n v="25"/>
    <x v="2"/>
    <n v="511.65"/>
    <x v="1"/>
    <s v="UPI"/>
    <n v="511.65"/>
    <n v="580.81499999999994"/>
    <n v="69.164999999999964"/>
    <n v="0.11908266831951649"/>
    <x v="0"/>
    <s v="Mar"/>
    <n v="2023"/>
  </r>
  <r>
    <n v="100663"/>
    <x v="423"/>
    <x v="31"/>
    <s v="P0102"/>
    <x v="2"/>
    <n v="1"/>
    <n v="2652.93"/>
    <n v="0"/>
    <x v="0"/>
    <n v="1693.51"/>
    <x v="1"/>
    <s v="NetBanking"/>
    <n v="1693.51"/>
    <n v="2652.93"/>
    <n v="959.41999999999985"/>
    <n v="0.361645426000686"/>
    <x v="0"/>
    <s v="Oct"/>
    <n v="2024"/>
  </r>
  <r>
    <n v="100664"/>
    <x v="424"/>
    <x v="43"/>
    <s v="P0111"/>
    <x v="0"/>
    <n v="4"/>
    <n v="982.42"/>
    <n v="0"/>
    <x v="0"/>
    <n v="602.26"/>
    <x v="0"/>
    <s v="NetBanking"/>
    <n v="2409.04"/>
    <n v="3929.68"/>
    <n v="1520.6399999999999"/>
    <n v="0.38696280613179695"/>
    <x v="0"/>
    <s v="Jul"/>
    <n v="2023"/>
  </r>
  <r>
    <n v="100665"/>
    <x v="425"/>
    <x v="31"/>
    <s v="P0120"/>
    <x v="2"/>
    <n v="3"/>
    <n v="1392.21"/>
    <n v="0"/>
    <x v="0"/>
    <n v="674.25"/>
    <x v="1"/>
    <s v="Digital"/>
    <n v="2022.75"/>
    <n v="4176.63"/>
    <n v="2153.88"/>
    <n v="0.51569806279225117"/>
    <x v="0"/>
    <s v="Aug"/>
    <n v="2023"/>
  </r>
  <r>
    <n v="100666"/>
    <x v="426"/>
    <x v="6"/>
    <s v="P0053"/>
    <x v="2"/>
    <n v="2"/>
    <n v="1550.99"/>
    <n v="0"/>
    <x v="0"/>
    <n v="630.65"/>
    <x v="0"/>
    <s v="Cash"/>
    <n v="1261.3"/>
    <n v="3101.98"/>
    <n v="1840.68"/>
    <n v="0.59338873880553711"/>
    <x v="1"/>
    <s v="Aug"/>
    <n v="2023"/>
  </r>
  <r>
    <n v="100667"/>
    <x v="427"/>
    <x v="5"/>
    <s v="P0013"/>
    <x v="6"/>
    <n v="3"/>
    <n v="1362.34"/>
    <n v="20"/>
    <x v="1"/>
    <n v="806.7"/>
    <x v="0"/>
    <s v="Card"/>
    <n v="2420.1000000000004"/>
    <n v="3269.616"/>
    <n v="849.51599999999962"/>
    <n v="0.25982133681753444"/>
    <x v="0"/>
    <s v="Mar"/>
    <n v="2024"/>
  </r>
  <r>
    <n v="100668"/>
    <x v="428"/>
    <x v="11"/>
    <s v="P0031"/>
    <x v="0"/>
    <n v="1"/>
    <n v="1308.75"/>
    <n v="0"/>
    <x v="0"/>
    <n v="686.88"/>
    <x v="0"/>
    <s v="Digital"/>
    <n v="686.88"/>
    <n v="1308.75"/>
    <n v="621.87"/>
    <n v="0.47516332378223497"/>
    <x v="1"/>
    <s v="Oct"/>
    <n v="2023"/>
  </r>
  <r>
    <n v="100669"/>
    <x v="364"/>
    <x v="11"/>
    <s v="P0010"/>
    <x v="5"/>
    <n v="1"/>
    <n v="3683.02"/>
    <n v="5"/>
    <x v="0"/>
    <n v="2431.09"/>
    <x v="0"/>
    <s v="Digital"/>
    <n v="2431.09"/>
    <n v="3498.8689999999997"/>
    <n v="1067.7789999999995"/>
    <n v="0.30517833048336468"/>
    <x v="0"/>
    <s v="Mar"/>
    <n v="2023"/>
  </r>
  <r>
    <n v="100670"/>
    <x v="47"/>
    <x v="16"/>
    <s v="P0114"/>
    <x v="3"/>
    <n v="4"/>
    <n v="3236.48"/>
    <n v="25"/>
    <x v="2"/>
    <n v="1364.28"/>
    <x v="1"/>
    <s v="NetBanking"/>
    <n v="5457.12"/>
    <n v="9709.44"/>
    <n v="4252.3200000000006"/>
    <n v="0.43795728692900932"/>
    <x v="0"/>
    <s v="Jun"/>
    <n v="2023"/>
  </r>
  <r>
    <n v="100671"/>
    <x v="15"/>
    <x v="24"/>
    <s v="P0152"/>
    <x v="5"/>
    <n v="2"/>
    <n v="2476.91"/>
    <n v="15"/>
    <x v="1"/>
    <n v="1165.1300000000001"/>
    <x v="2"/>
    <s v="Card"/>
    <n v="2330.2600000000002"/>
    <n v="4210.7469999999994"/>
    <n v="1880.4869999999992"/>
    <n v="0.44659225548340936"/>
    <x v="0"/>
    <s v="Feb"/>
    <n v="2023"/>
  </r>
  <r>
    <n v="100672"/>
    <x v="429"/>
    <x v="36"/>
    <s v="P0059"/>
    <x v="1"/>
    <n v="3"/>
    <n v="2896.75"/>
    <n v="20"/>
    <x v="1"/>
    <n v="1610.74"/>
    <x v="0"/>
    <s v="UPI"/>
    <n v="4832.22"/>
    <n v="6952.2000000000007"/>
    <n v="2119.9800000000005"/>
    <n v="0.3049365668421507"/>
    <x v="0"/>
    <s v="Jul"/>
    <n v="2023"/>
  </r>
  <r>
    <n v="100673"/>
    <x v="422"/>
    <x v="45"/>
    <s v="P0082"/>
    <x v="3"/>
    <n v="3"/>
    <n v="3687.08"/>
    <n v="5"/>
    <x v="0"/>
    <n v="1918.88"/>
    <x v="1"/>
    <s v="Card"/>
    <n v="5756.64"/>
    <n v="10508.178"/>
    <n v="4751.5379999999996"/>
    <n v="0.45217524864919489"/>
    <x v="0"/>
    <s v="Oct"/>
    <n v="2023"/>
  </r>
  <r>
    <n v="100674"/>
    <x v="430"/>
    <x v="20"/>
    <s v="P0049"/>
    <x v="6"/>
    <n v="4"/>
    <n v="3258.92"/>
    <n v="15"/>
    <x v="1"/>
    <n v="1356.69"/>
    <x v="2"/>
    <s v="UPI"/>
    <n v="5426.76"/>
    <n v="11080.328"/>
    <n v="5653.5679999999993"/>
    <n v="0.51023471507341656"/>
    <x v="0"/>
    <s v="Dec"/>
    <n v="2024"/>
  </r>
  <r>
    <n v="100675"/>
    <x v="75"/>
    <x v="14"/>
    <s v="P0018"/>
    <x v="6"/>
    <n v="3"/>
    <n v="782.92"/>
    <n v="30"/>
    <x v="2"/>
    <n v="357.57"/>
    <x v="1"/>
    <s v="Card"/>
    <n v="1072.71"/>
    <n v="1644.1319999999998"/>
    <n v="571.4219999999998"/>
    <n v="0.34755238630474916"/>
    <x v="1"/>
    <s v="Jun"/>
    <n v="2023"/>
  </r>
  <r>
    <n v="100676"/>
    <x v="187"/>
    <x v="30"/>
    <s v="P0050"/>
    <x v="6"/>
    <n v="4"/>
    <n v="3089.38"/>
    <n v="15"/>
    <x v="1"/>
    <n v="2065.92"/>
    <x v="0"/>
    <s v="Digital"/>
    <n v="8263.68"/>
    <n v="10503.892"/>
    <n v="2240.2119999999995"/>
    <n v="0.21327447007261685"/>
    <x v="0"/>
    <s v="Mar"/>
    <n v="2023"/>
  </r>
  <r>
    <n v="100677"/>
    <x v="252"/>
    <x v="9"/>
    <s v="P0156"/>
    <x v="6"/>
    <n v="4"/>
    <n v="317.95"/>
    <n v="20"/>
    <x v="1"/>
    <n v="150.72"/>
    <x v="1"/>
    <s v="UPI"/>
    <n v="602.88"/>
    <n v="1017.44"/>
    <n v="414.56000000000006"/>
    <n v="0.40745400220160405"/>
    <x v="0"/>
    <s v="Jun"/>
    <n v="2023"/>
  </r>
  <r>
    <n v="100678"/>
    <x v="362"/>
    <x v="48"/>
    <s v="P0155"/>
    <x v="6"/>
    <n v="3"/>
    <n v="4185.5600000000004"/>
    <n v="20"/>
    <x v="1"/>
    <n v="1837.37"/>
    <x v="0"/>
    <s v="Digital"/>
    <n v="5512.11"/>
    <n v="10045.344000000001"/>
    <n v="4533.2340000000013"/>
    <n v="0.45127712898632449"/>
    <x v="0"/>
    <s v="May"/>
    <n v="2023"/>
  </r>
  <r>
    <n v="100679"/>
    <x v="180"/>
    <x v="1"/>
    <s v="P0083"/>
    <x v="3"/>
    <n v="2"/>
    <n v="1772.74"/>
    <n v="5"/>
    <x v="0"/>
    <n v="1128.67"/>
    <x v="0"/>
    <s v="Cash"/>
    <n v="2257.34"/>
    <n v="3368.2059999999997"/>
    <n v="1110.8659999999995"/>
    <n v="0.32980940001888237"/>
    <x v="1"/>
    <s v="May"/>
    <n v="2023"/>
  </r>
  <r>
    <n v="100680"/>
    <x v="431"/>
    <x v="38"/>
    <s v="P0165"/>
    <x v="2"/>
    <n v="1"/>
    <n v="2073.37"/>
    <n v="20"/>
    <x v="1"/>
    <n v="1411.75"/>
    <x v="2"/>
    <s v="Card"/>
    <n v="1411.75"/>
    <n v="1658.6959999999999"/>
    <n v="246.94599999999991"/>
    <n v="0.14887960180768503"/>
    <x v="0"/>
    <s v="Nov"/>
    <n v="2024"/>
  </r>
  <r>
    <n v="100681"/>
    <x v="88"/>
    <x v="26"/>
    <s v="P0120"/>
    <x v="0"/>
    <n v="1"/>
    <n v="3528.99"/>
    <n v="15"/>
    <x v="1"/>
    <n v="1934.4"/>
    <x v="0"/>
    <s v="Card"/>
    <n v="1934.4"/>
    <n v="2999.6414999999997"/>
    <n v="1065.2414999999996"/>
    <n v="0.35512293719099425"/>
    <x v="1"/>
    <s v="Dec"/>
    <n v="2024"/>
  </r>
  <r>
    <n v="100682"/>
    <x v="432"/>
    <x v="31"/>
    <s v="P0013"/>
    <x v="2"/>
    <n v="3"/>
    <n v="320.51"/>
    <n v="30"/>
    <x v="2"/>
    <n v="144.26"/>
    <x v="2"/>
    <s v="UPI"/>
    <n v="432.78"/>
    <n v="673.07099999999991"/>
    <n v="240.29099999999994"/>
    <n v="0.35700691308940657"/>
    <x v="0"/>
    <s v="Aug"/>
    <n v="2023"/>
  </r>
  <r>
    <n v="100683"/>
    <x v="188"/>
    <x v="10"/>
    <s v="P0175"/>
    <x v="1"/>
    <n v="1"/>
    <n v="4840.42"/>
    <n v="30"/>
    <x v="2"/>
    <n v="3041.29"/>
    <x v="1"/>
    <s v="Cash"/>
    <n v="3041.29"/>
    <n v="3388.2939999999999"/>
    <n v="347.00399999999991"/>
    <n v="0.10241260055945556"/>
    <x v="0"/>
    <s v="Mar"/>
    <n v="2024"/>
  </r>
  <r>
    <n v="100684"/>
    <x v="271"/>
    <x v="25"/>
    <s v="P0140"/>
    <x v="0"/>
    <n v="1"/>
    <n v="1700.85"/>
    <n v="30"/>
    <x v="2"/>
    <n v="734.1"/>
    <x v="0"/>
    <s v="UPI"/>
    <n v="734.1"/>
    <n v="1190.5949999999998"/>
    <n v="456.49499999999978"/>
    <n v="0.38341753493001385"/>
    <x v="0"/>
    <s v="Dec"/>
    <n v="2024"/>
  </r>
  <r>
    <n v="100685"/>
    <x v="433"/>
    <x v="31"/>
    <s v="P0103"/>
    <x v="4"/>
    <n v="1"/>
    <n v="526.47"/>
    <n v="0"/>
    <x v="0"/>
    <n v="267.45"/>
    <x v="2"/>
    <s v="Cash"/>
    <n v="267.45"/>
    <n v="526.47"/>
    <n v="259.02000000000004"/>
    <n v="0.49199384580317973"/>
    <x v="0"/>
    <s v="Oct"/>
    <n v="2023"/>
  </r>
  <r>
    <n v="100686"/>
    <x v="434"/>
    <x v="39"/>
    <s v="P0146"/>
    <x v="1"/>
    <n v="4"/>
    <n v="4369.3500000000004"/>
    <n v="5"/>
    <x v="0"/>
    <n v="2371.64"/>
    <x v="2"/>
    <s v="UPI"/>
    <n v="9486.56"/>
    <n v="16603.53"/>
    <n v="7116.9699999999993"/>
    <n v="0.42864198155452482"/>
    <x v="0"/>
    <s v="May"/>
    <n v="2024"/>
  </r>
  <r>
    <n v="100687"/>
    <x v="10"/>
    <x v="16"/>
    <s v="P0013"/>
    <x v="1"/>
    <n v="4"/>
    <n v="2032.92"/>
    <n v="5"/>
    <x v="0"/>
    <n v="1038.71"/>
    <x v="1"/>
    <s v="NetBanking"/>
    <n v="4154.84"/>
    <n v="7725.0959999999995"/>
    <n v="3570.2559999999994"/>
    <n v="0.46216331809986566"/>
    <x v="1"/>
    <s v="Mar"/>
    <n v="2024"/>
  </r>
  <r>
    <n v="100688"/>
    <x v="435"/>
    <x v="31"/>
    <s v="P0137"/>
    <x v="4"/>
    <n v="2"/>
    <n v="2894.73"/>
    <n v="15"/>
    <x v="1"/>
    <n v="1518.98"/>
    <x v="0"/>
    <s v="UPI"/>
    <n v="3037.96"/>
    <n v="4921.0410000000002"/>
    <n v="1883.0810000000001"/>
    <n v="0.38265907558990059"/>
    <x v="0"/>
    <s v="Jun"/>
    <n v="2024"/>
  </r>
  <r>
    <n v="100689"/>
    <x v="436"/>
    <x v="4"/>
    <s v="P0109"/>
    <x v="6"/>
    <n v="1"/>
    <n v="4387.8900000000003"/>
    <n v="25"/>
    <x v="2"/>
    <n v="2716.76"/>
    <x v="1"/>
    <s v="Digital"/>
    <n v="2716.76"/>
    <n v="3290.9175000000005"/>
    <n v="574.15750000000025"/>
    <n v="0.17446730281145004"/>
    <x v="0"/>
    <s v="Apr"/>
    <n v="2023"/>
  </r>
  <r>
    <n v="100690"/>
    <x v="397"/>
    <x v="46"/>
    <s v="P0008"/>
    <x v="0"/>
    <n v="3"/>
    <n v="3156.43"/>
    <n v="0"/>
    <x v="0"/>
    <n v="1542.2"/>
    <x v="1"/>
    <s v="Cash"/>
    <n v="4626.6000000000004"/>
    <n v="9469.2899999999991"/>
    <n v="4842.6899999999987"/>
    <n v="0.51141004235798027"/>
    <x v="1"/>
    <s v="Dec"/>
    <n v="2024"/>
  </r>
  <r>
    <n v="100691"/>
    <x v="297"/>
    <x v="22"/>
    <s v="P0172"/>
    <x v="3"/>
    <n v="3"/>
    <n v="890.9"/>
    <n v="5"/>
    <x v="0"/>
    <n v="553.36"/>
    <x v="0"/>
    <s v="Cash"/>
    <n v="1660.08"/>
    <n v="2539.0649999999996"/>
    <n v="878.98499999999967"/>
    <n v="0.3461845206798565"/>
    <x v="0"/>
    <s v="Nov"/>
    <n v="2023"/>
  </r>
  <r>
    <n v="100692"/>
    <x v="437"/>
    <x v="14"/>
    <s v="P0100"/>
    <x v="1"/>
    <n v="1"/>
    <n v="3506.31"/>
    <n v="5"/>
    <x v="0"/>
    <n v="1894.97"/>
    <x v="0"/>
    <s v="Cash"/>
    <n v="1894.97"/>
    <n v="3330.9944999999998"/>
    <n v="1436.0244999999998"/>
    <n v="0.4311098382179856"/>
    <x v="0"/>
    <s v="Mar"/>
    <n v="2023"/>
  </r>
  <r>
    <n v="100693"/>
    <x v="174"/>
    <x v="41"/>
    <s v="P0049"/>
    <x v="0"/>
    <n v="1"/>
    <n v="1650.83"/>
    <n v="30"/>
    <x v="2"/>
    <n v="842.48"/>
    <x v="1"/>
    <s v="UPI"/>
    <n v="842.48"/>
    <n v="1155.5809999999999"/>
    <n v="313.10099999999989"/>
    <n v="0.27094682242092932"/>
    <x v="0"/>
    <s v="Nov"/>
    <n v="2023"/>
  </r>
  <r>
    <n v="100694"/>
    <x v="15"/>
    <x v="7"/>
    <s v="P0074"/>
    <x v="5"/>
    <n v="2"/>
    <n v="3975.47"/>
    <n v="10"/>
    <x v="0"/>
    <n v="2238.75"/>
    <x v="2"/>
    <s v="UPI"/>
    <n v="4477.5"/>
    <n v="7155.8459999999995"/>
    <n v="2678.3459999999995"/>
    <n v="0.37428782005649641"/>
    <x v="0"/>
    <s v="Feb"/>
    <n v="2023"/>
  </r>
  <r>
    <n v="100695"/>
    <x v="438"/>
    <x v="8"/>
    <s v="P0138"/>
    <x v="4"/>
    <n v="2"/>
    <n v="1436.88"/>
    <n v="20"/>
    <x v="1"/>
    <n v="967.48"/>
    <x v="2"/>
    <s v="Card"/>
    <n v="1934.96"/>
    <n v="2299.0080000000003"/>
    <n v="364.04800000000023"/>
    <n v="0.15835003618952181"/>
    <x v="0"/>
    <s v="Feb"/>
    <n v="2024"/>
  </r>
  <r>
    <n v="100696"/>
    <x v="207"/>
    <x v="19"/>
    <s v="P0012"/>
    <x v="0"/>
    <n v="3"/>
    <n v="2616.46"/>
    <n v="0"/>
    <x v="0"/>
    <n v="1363.93"/>
    <x v="0"/>
    <s v="Card"/>
    <n v="4091.79"/>
    <n v="7849.38"/>
    <n v="3757.59"/>
    <n v="0.47871169442682099"/>
    <x v="0"/>
    <s v="Jan"/>
    <n v="2023"/>
  </r>
  <r>
    <n v="100697"/>
    <x v="439"/>
    <x v="38"/>
    <s v="P0122"/>
    <x v="5"/>
    <n v="2"/>
    <n v="1553.37"/>
    <n v="30"/>
    <x v="2"/>
    <n v="959.14"/>
    <x v="2"/>
    <s v="Cash"/>
    <n v="1918.28"/>
    <n v="2174.7179999999998"/>
    <n v="256.43799999999987"/>
    <n v="0.11791781739057657"/>
    <x v="0"/>
    <s v="Feb"/>
    <n v="2024"/>
  </r>
  <r>
    <n v="100698"/>
    <x v="117"/>
    <x v="3"/>
    <s v="P0156"/>
    <x v="1"/>
    <n v="4"/>
    <n v="2168.94"/>
    <n v="0"/>
    <x v="0"/>
    <n v="1363.6"/>
    <x v="1"/>
    <s v="Card"/>
    <n v="5454.4"/>
    <n v="8675.76"/>
    <n v="3221.3600000000006"/>
    <n v="0.37130579914612671"/>
    <x v="1"/>
    <s v="Apr"/>
    <n v="2023"/>
  </r>
  <r>
    <n v="100699"/>
    <x v="440"/>
    <x v="29"/>
    <s v="P0027"/>
    <x v="0"/>
    <n v="4"/>
    <n v="3932.73"/>
    <n v="15"/>
    <x v="1"/>
    <n v="2188.13"/>
    <x v="0"/>
    <s v="Cash"/>
    <n v="8752.52"/>
    <n v="13371.281999999999"/>
    <n v="4618.7619999999988"/>
    <n v="0.3454240214214313"/>
    <x v="0"/>
    <s v="Nov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06750-A6C2-407B-95A6-BFB783C8AE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axis="axisRow" showAll="0" sortType="descending">
      <items count="8">
        <item x="2"/>
        <item x="1"/>
        <item x="5"/>
        <item x="6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 v="4"/>
    </i>
    <i>
      <x v="6"/>
    </i>
    <i>
      <x/>
    </i>
    <i>
      <x v="5"/>
    </i>
    <i>
      <x v="2"/>
    </i>
    <i>
      <x v="1"/>
    </i>
    <i>
      <x v="3"/>
    </i>
    <i t="grand">
      <x/>
    </i>
  </rowItems>
  <colItems count="1">
    <i/>
  </colItems>
  <dataFields count="1">
    <dataField name="Sum of Revenue" fld="1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4D75B-8735-4E93-9AD0-EF65EC5610A6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3:D10" firstHeaderRow="0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axis="axisRow" showAll="0" sortType="descending">
      <items count="8">
        <item x="2"/>
        <item x="1"/>
        <item x="5"/>
        <item x="6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 v="4"/>
    </i>
    <i>
      <x v="6"/>
    </i>
    <i>
      <x/>
    </i>
    <i>
      <x v="5"/>
    </i>
    <i>
      <x v="2"/>
    </i>
    <i>
      <x v="1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3" baseField="0" baseItem="0"/>
    <dataField name="Sum of Profit" fld="14" baseField="0" baseItem="0"/>
    <dataField name="Sum of Profitable Margin" fld="19" baseField="4" baseItem="1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04F3F-8D8C-4FD2-9CC3-D27FA7C164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iscount Brand">
  <location ref="A3:B7" firstHeaderRow="1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able Margin" fld="19" subtotal="average" baseField="8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5D871-8E79-4C39-B5FD-53B2AF99F37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 rowHeaderCaption="Discount Brand">
  <location ref="A9:C12" firstHeaderRow="0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Profitable Margin" fld="19" subtotal="average" baseField="8" baseItem="0" numFmtId="166"/>
    <dataField name="Sum of Revenue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EECBB-3E9A-4407-9970-BD3AFE8E80EB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3:B29" firstHeaderRow="1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2"/>
    <field x="20"/>
  </rowFields>
  <rowItems count="2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889AC-9289-4640-9FDE-80F9029842EF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3:B13" firstHeaderRow="1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axis="axisRow" showAll="0" measureFilter="1" sortType="descending">
      <items count="51">
        <item x="44"/>
        <item x="0"/>
        <item x="36"/>
        <item x="30"/>
        <item x="28"/>
        <item x="8"/>
        <item x="13"/>
        <item x="33"/>
        <item x="1"/>
        <item x="26"/>
        <item x="14"/>
        <item x="49"/>
        <item x="41"/>
        <item x="3"/>
        <item x="5"/>
        <item x="27"/>
        <item x="35"/>
        <item x="7"/>
        <item x="48"/>
        <item x="47"/>
        <item x="18"/>
        <item x="46"/>
        <item x="37"/>
        <item x="21"/>
        <item x="10"/>
        <item x="19"/>
        <item x="43"/>
        <item x="24"/>
        <item x="45"/>
        <item x="32"/>
        <item x="42"/>
        <item x="31"/>
        <item x="25"/>
        <item x="29"/>
        <item x="16"/>
        <item x="4"/>
        <item x="11"/>
        <item x="2"/>
        <item x="9"/>
        <item x="34"/>
        <item x="22"/>
        <item x="38"/>
        <item x="12"/>
        <item x="17"/>
        <item x="15"/>
        <item x="40"/>
        <item x="39"/>
        <item x="20"/>
        <item x="6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0">
    <i>
      <x v="20"/>
    </i>
    <i>
      <x v="25"/>
    </i>
    <i>
      <x v="28"/>
    </i>
    <i>
      <x v="48"/>
    </i>
    <i>
      <x v="31"/>
    </i>
    <i>
      <x v="42"/>
    </i>
    <i>
      <x v="8"/>
    </i>
    <i>
      <x v="33"/>
    </i>
    <i>
      <x v="43"/>
    </i>
    <i>
      <x v="32"/>
    </i>
  </rowItems>
  <colItems count="1">
    <i/>
  </colItems>
  <dataFields count="1">
    <dataField name="Sum of Revenue" fld="13" baseField="2" baseItem="2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9D16A-5D2D-480B-996A-93308EA6ABC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Revenue" fld="1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926CB-A902-4A5F-8291-953CCFF502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23">
    <pivotField showAll="0"/>
    <pivotField numFmtId="164" showAll="0">
      <items count="442">
        <item x="122"/>
        <item x="46"/>
        <item x="295"/>
        <item x="133"/>
        <item x="150"/>
        <item x="189"/>
        <item x="338"/>
        <item x="265"/>
        <item x="116"/>
        <item x="269"/>
        <item x="354"/>
        <item x="164"/>
        <item x="207"/>
        <item x="356"/>
        <item x="298"/>
        <item x="4"/>
        <item x="144"/>
        <item x="304"/>
        <item x="279"/>
        <item x="172"/>
        <item x="240"/>
        <item x="20"/>
        <item x="198"/>
        <item x="85"/>
        <item x="58"/>
        <item x="233"/>
        <item x="113"/>
        <item x="129"/>
        <item x="373"/>
        <item x="68"/>
        <item x="15"/>
        <item x="203"/>
        <item x="358"/>
        <item x="179"/>
        <item x="437"/>
        <item x="353"/>
        <item x="95"/>
        <item x="312"/>
        <item x="0"/>
        <item x="364"/>
        <item x="134"/>
        <item x="11"/>
        <item x="178"/>
        <item x="143"/>
        <item x="187"/>
        <item x="211"/>
        <item x="263"/>
        <item x="130"/>
        <item x="21"/>
        <item x="436"/>
        <item x="260"/>
        <item x="67"/>
        <item x="414"/>
        <item x="400"/>
        <item x="171"/>
        <item x="351"/>
        <item x="399"/>
        <item x="145"/>
        <item x="35"/>
        <item x="195"/>
        <item x="108"/>
        <item x="403"/>
        <item x="117"/>
        <item x="394"/>
        <item x="135"/>
        <item x="270"/>
        <item x="234"/>
        <item x="71"/>
        <item x="326"/>
        <item x="380"/>
        <item x="322"/>
        <item x="48"/>
        <item x="98"/>
        <item x="362"/>
        <item x="128"/>
        <item x="18"/>
        <item x="180"/>
        <item x="370"/>
        <item x="230"/>
        <item x="197"/>
        <item x="42"/>
        <item x="340"/>
        <item x="109"/>
        <item x="75"/>
        <item x="252"/>
        <item x="57"/>
        <item x="167"/>
        <item x="47"/>
        <item x="52"/>
        <item x="254"/>
        <item x="324"/>
        <item x="283"/>
        <item x="305"/>
        <item x="411"/>
        <item x="208"/>
        <item x="337"/>
        <item x="118"/>
        <item x="177"/>
        <item x="217"/>
        <item x="424"/>
        <item x="286"/>
        <item x="225"/>
        <item x="216"/>
        <item x="29"/>
        <item x="389"/>
        <item x="247"/>
        <item x="404"/>
        <item x="183"/>
        <item x="232"/>
        <item x="246"/>
        <item x="256"/>
        <item x="206"/>
        <item x="38"/>
        <item x="407"/>
        <item x="429"/>
        <item x="258"/>
        <item x="273"/>
        <item x="267"/>
        <item x="169"/>
        <item x="425"/>
        <item x="321"/>
        <item x="290"/>
        <item x="76"/>
        <item x="329"/>
        <item x="214"/>
        <item x="36"/>
        <item x="227"/>
        <item x="250"/>
        <item x="418"/>
        <item x="100"/>
        <item x="426"/>
        <item x="335"/>
        <item x="93"/>
        <item x="409"/>
        <item x="432"/>
        <item x="156"/>
        <item x="325"/>
        <item x="25"/>
        <item x="262"/>
        <item x="149"/>
        <item x="410"/>
        <item x="61"/>
        <item x="388"/>
        <item x="368"/>
        <item x="137"/>
        <item x="50"/>
        <item x="192"/>
        <item x="253"/>
        <item x="30"/>
        <item x="45"/>
        <item x="323"/>
        <item x="294"/>
        <item x="123"/>
        <item x="381"/>
        <item x="249"/>
        <item x="14"/>
        <item x="92"/>
        <item x="141"/>
        <item x="281"/>
        <item x="385"/>
        <item x="311"/>
        <item x="428"/>
        <item x="146"/>
        <item x="54"/>
        <item x="282"/>
        <item x="395"/>
        <item x="200"/>
        <item x="60"/>
        <item x="204"/>
        <item x="422"/>
        <item x="158"/>
        <item x="168"/>
        <item x="223"/>
        <item x="159"/>
        <item x="302"/>
        <item x="433"/>
        <item x="111"/>
        <item x="126"/>
        <item x="287"/>
        <item x="174"/>
        <item x="387"/>
        <item x="266"/>
        <item x="310"/>
        <item x="154"/>
        <item x="299"/>
        <item x="297"/>
        <item x="103"/>
        <item x="186"/>
        <item x="342"/>
        <item x="209"/>
        <item x="1"/>
        <item x="398"/>
        <item x="285"/>
        <item x="136"/>
        <item x="51"/>
        <item x="288"/>
        <item x="319"/>
        <item x="371"/>
        <item x="291"/>
        <item x="9"/>
        <item x="157"/>
        <item x="148"/>
        <item x="237"/>
        <item x="170"/>
        <item x="401"/>
        <item x="112"/>
        <item x="196"/>
        <item x="402"/>
        <item x="106"/>
        <item x="352"/>
        <item x="202"/>
        <item x="274"/>
        <item x="228"/>
        <item x="284"/>
        <item x="91"/>
        <item x="69"/>
        <item x="276"/>
        <item x="300"/>
        <item x="32"/>
        <item x="393"/>
        <item x="408"/>
        <item x="147"/>
        <item x="257"/>
        <item x="412"/>
        <item x="355"/>
        <item x="343"/>
        <item x="94"/>
        <item x="303"/>
        <item x="3"/>
        <item x="34"/>
        <item x="8"/>
        <item x="12"/>
        <item x="280"/>
        <item x="84"/>
        <item x="438"/>
        <item x="361"/>
        <item x="366"/>
        <item x="124"/>
        <item x="13"/>
        <item x="120"/>
        <item x="316"/>
        <item x="26"/>
        <item x="62"/>
        <item x="439"/>
        <item x="166"/>
        <item x="245"/>
        <item x="346"/>
        <item x="220"/>
        <item x="293"/>
        <item x="405"/>
        <item x="165"/>
        <item x="239"/>
        <item x="332"/>
        <item x="182"/>
        <item x="218"/>
        <item x="264"/>
        <item x="222"/>
        <item x="383"/>
        <item x="152"/>
        <item x="374"/>
        <item x="427"/>
        <item x="306"/>
        <item x="226"/>
        <item x="390"/>
        <item x="104"/>
        <item x="74"/>
        <item x="318"/>
        <item x="384"/>
        <item x="188"/>
        <item x="77"/>
        <item x="235"/>
        <item x="10"/>
        <item x="89"/>
        <item x="185"/>
        <item x="301"/>
        <item x="350"/>
        <item x="333"/>
        <item x="348"/>
        <item x="244"/>
        <item x="378"/>
        <item x="44"/>
        <item x="176"/>
        <item x="5"/>
        <item x="55"/>
        <item x="96"/>
        <item x="7"/>
        <item x="415"/>
        <item x="73"/>
        <item x="19"/>
        <item x="205"/>
        <item x="16"/>
        <item x="369"/>
        <item x="434"/>
        <item x="33"/>
        <item x="317"/>
        <item x="87"/>
        <item x="23"/>
        <item x="53"/>
        <item x="107"/>
        <item x="193"/>
        <item x="391"/>
        <item x="376"/>
        <item x="72"/>
        <item x="191"/>
        <item x="268"/>
        <item x="81"/>
        <item x="289"/>
        <item x="330"/>
        <item x="278"/>
        <item x="17"/>
        <item x="79"/>
        <item x="345"/>
        <item x="416"/>
        <item x="138"/>
        <item x="435"/>
        <item x="277"/>
        <item x="105"/>
        <item x="372"/>
        <item x="413"/>
        <item x="357"/>
        <item x="175"/>
        <item x="212"/>
        <item x="127"/>
        <item x="379"/>
        <item x="82"/>
        <item x="219"/>
        <item x="56"/>
        <item x="90"/>
        <item x="420"/>
        <item x="155"/>
        <item x="261"/>
        <item x="24"/>
        <item x="367"/>
        <item x="238"/>
        <item x="377"/>
        <item x="320"/>
        <item x="349"/>
        <item x="6"/>
        <item x="59"/>
        <item x="251"/>
        <item x="382"/>
        <item x="334"/>
        <item x="229"/>
        <item x="151"/>
        <item x="406"/>
        <item x="83"/>
        <item x="125"/>
        <item x="163"/>
        <item x="363"/>
        <item x="421"/>
        <item x="224"/>
        <item x="99"/>
        <item x="241"/>
        <item x="309"/>
        <item x="210"/>
        <item x="236"/>
        <item x="115"/>
        <item x="331"/>
        <item x="199"/>
        <item x="86"/>
        <item x="70"/>
        <item x="255"/>
        <item x="275"/>
        <item x="40"/>
        <item x="39"/>
        <item x="78"/>
        <item x="22"/>
        <item x="314"/>
        <item x="215"/>
        <item x="162"/>
        <item x="231"/>
        <item x="417"/>
        <item x="339"/>
        <item x="392"/>
        <item x="140"/>
        <item x="190"/>
        <item x="315"/>
        <item x="49"/>
        <item x="296"/>
        <item x="142"/>
        <item x="194"/>
        <item x="101"/>
        <item x="160"/>
        <item x="347"/>
        <item x="43"/>
        <item x="313"/>
        <item x="272"/>
        <item x="184"/>
        <item x="121"/>
        <item x="28"/>
        <item x="102"/>
        <item x="153"/>
        <item x="341"/>
        <item x="344"/>
        <item x="64"/>
        <item x="308"/>
        <item x="423"/>
        <item x="327"/>
        <item x="80"/>
        <item x="41"/>
        <item x="173"/>
        <item x="2"/>
        <item x="359"/>
        <item x="161"/>
        <item x="139"/>
        <item x="242"/>
        <item x="181"/>
        <item x="132"/>
        <item x="307"/>
        <item x="386"/>
        <item x="110"/>
        <item x="31"/>
        <item x="63"/>
        <item x="419"/>
        <item x="213"/>
        <item x="119"/>
        <item x="328"/>
        <item x="431"/>
        <item x="66"/>
        <item x="97"/>
        <item x="396"/>
        <item x="131"/>
        <item x="221"/>
        <item x="440"/>
        <item x="27"/>
        <item x="243"/>
        <item x="201"/>
        <item x="360"/>
        <item x="248"/>
        <item x="375"/>
        <item x="292"/>
        <item x="430"/>
        <item x="259"/>
        <item x="271"/>
        <item x="114"/>
        <item x="365"/>
        <item x="336"/>
        <item x="65"/>
        <item x="397"/>
        <item x="8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axis="axisRow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 numFmtId="165"/>
    <dataField name="Sum of Profit" fld="14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525F2-C179-4BB1-BF3A-63D6D9C066A9}" name="Sales" displayName="Sales" ref="A1:S701" totalsRowShown="0" headerRowDxfId="5" headerRowBorderDxfId="4" tableBorderDxfId="3">
  <autoFilter ref="A1:S701" xr:uid="{F81525F2-C179-4BB1-BF3A-63D6D9C066A9}"/>
  <tableColumns count="19">
    <tableColumn id="1" xr3:uid="{389D3536-8768-42F8-AC1B-E9AC2E4A4854}" name="InvoiceNo"/>
    <tableColumn id="2" xr3:uid="{80F19DA4-C43C-4024-B01B-1AB32448B101}" name="Date" dataDxfId="2"/>
    <tableColumn id="3" xr3:uid="{13DFC5F5-D178-44AD-B9CE-D4FC24637101}" name="StoreID"/>
    <tableColumn id="4" xr3:uid="{EF63AC35-11E6-46D3-AE16-DCE94FCA469A}" name="ProductID"/>
    <tableColumn id="5" xr3:uid="{C217629C-5411-46C6-9F9A-DF3C1A45AD67}" name="Category"/>
    <tableColumn id="6" xr3:uid="{648C2770-40A9-4CA8-B324-D7D461C11C79}" name="Quantity"/>
    <tableColumn id="7" xr3:uid="{6C33CC5B-C0C0-49C7-8151-A3547B1E0088}" name="UnitPrice"/>
    <tableColumn id="8" xr3:uid="{EAEF36F6-06D8-44C5-A962-A4453B15F1C0}" name="Discount"/>
    <tableColumn id="19" xr3:uid="{CDA30099-D49C-4ED2-BDFC-8A7F5FF71D5F}" name="Discount Brand" dataDxfId="1">
      <calculatedColumnFormula>IF(Sales[[#This Row],[Discount]]&lt;=10,"0-10%",IF(Sales[[#This Row],[Discount]]&lt;=20,"10-20%","20-30%"))</calculatedColumnFormula>
    </tableColumn>
    <tableColumn id="9" xr3:uid="{EE73964A-CCB5-4FA7-A290-3D98153B1D5A}" name="CostPerUnit"/>
    <tableColumn id="10" xr3:uid="{942F03AC-9864-40F1-83A1-86BA24B93128}" name="CustomerType"/>
    <tableColumn id="11" xr3:uid="{1970BEB2-DAC6-4E42-B267-70AEF4FE5EED}" name="PaymentMode"/>
    <tableColumn id="12" xr3:uid="{7C42A75B-6516-4555-A784-C50BDB7CBA75}" name="Total Cost">
      <calculatedColumnFormula>F2*J2</calculatedColumnFormula>
    </tableColumn>
    <tableColumn id="13" xr3:uid="{FD6EF31A-1E13-426B-AE55-42AE70A41C2D}" name="Revenue">
      <calculatedColumnFormula>F2*G2*(1-H2/100)</calculatedColumnFormula>
    </tableColumn>
    <tableColumn id="14" xr3:uid="{17663DE5-096D-48EB-B760-3054D1AE5177}" name="Profit">
      <calculatedColumnFormula>N2-M2</calculatedColumnFormula>
    </tableColumn>
    <tableColumn id="15" xr3:uid="{101170C2-054F-4D8B-AC7B-752EED95FEA8}" name="Profit Margin" dataDxfId="0">
      <calculatedColumnFormula>O2/N2</calculatedColumnFormula>
    </tableColumn>
    <tableColumn id="16" xr3:uid="{911F7EB2-740A-4D34-99A8-D6546361BA90}" name="Weekend Sell">
      <calculatedColumnFormula>IF(WEEKDAY(B2,2)&gt;5,"Weekend","Weekday")</calculatedColumnFormula>
    </tableColumn>
    <tableColumn id="17" xr3:uid="{2E07410C-1BC2-4BE7-B6FD-84A67EB03E89}" name="Month">
      <calculatedColumnFormula>TEXT(B2,"mmm")</calculatedColumnFormula>
    </tableColumn>
    <tableColumn id="18" xr3:uid="{E046778C-FF06-44E5-A644-92956B4C8FF2}" name="Year">
      <calculatedColumnFormula>YEAR(B2)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423-5E2E-4523-A594-3B6845B7453E}">
  <dimension ref="A3:B11"/>
  <sheetViews>
    <sheetView workbookViewId="0">
      <selection activeCell="T28" sqref="T28"/>
    </sheetView>
  </sheetViews>
  <sheetFormatPr defaultRowHeight="15" x14ac:dyDescent="0.25"/>
  <cols>
    <col min="1" max="1" width="13.140625" bestFit="1" customWidth="1"/>
    <col min="2" max="2" width="15.5703125" bestFit="1" customWidth="1"/>
    <col min="3" max="4" width="12.5703125" bestFit="1" customWidth="1"/>
  </cols>
  <sheetData>
    <row r="3" spans="1:2" x14ac:dyDescent="0.25">
      <c r="A3" s="5" t="s">
        <v>276</v>
      </c>
      <c r="B3" t="s">
        <v>280</v>
      </c>
    </row>
    <row r="4" spans="1:2" x14ac:dyDescent="0.25">
      <c r="A4" s="6" t="s">
        <v>257</v>
      </c>
      <c r="B4">
        <v>681486.15750000009</v>
      </c>
    </row>
    <row r="5" spans="1:2" x14ac:dyDescent="0.25">
      <c r="A5" s="6" t="s">
        <v>254</v>
      </c>
      <c r="B5">
        <v>621991.71950000047</v>
      </c>
    </row>
    <row r="6" spans="1:2" x14ac:dyDescent="0.25">
      <c r="A6" s="6" t="s">
        <v>256</v>
      </c>
      <c r="B6">
        <v>604015.46</v>
      </c>
    </row>
    <row r="7" spans="1:2" x14ac:dyDescent="0.25">
      <c r="A7" s="6" t="s">
        <v>258</v>
      </c>
      <c r="B7">
        <v>601088.59049999982</v>
      </c>
    </row>
    <row r="8" spans="1:2" x14ac:dyDescent="0.25">
      <c r="A8" s="6" t="s">
        <v>259</v>
      </c>
      <c r="B8">
        <v>566898.30250000011</v>
      </c>
    </row>
    <row r="9" spans="1:2" x14ac:dyDescent="0.25">
      <c r="A9" s="6" t="s">
        <v>255</v>
      </c>
      <c r="B9">
        <v>563863.51400000008</v>
      </c>
    </row>
    <row r="10" spans="1:2" x14ac:dyDescent="0.25">
      <c r="A10" s="6" t="s">
        <v>260</v>
      </c>
      <c r="B10">
        <v>497112.40699999989</v>
      </c>
    </row>
    <row r="11" spans="1:2" x14ac:dyDescent="0.25">
      <c r="A11" s="6" t="s">
        <v>279</v>
      </c>
      <c r="B11">
        <v>4136456.151000001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D95A-9663-459B-B582-1D76E1E040F7}">
  <dimension ref="A3:D10"/>
  <sheetViews>
    <sheetView tabSelected="1" workbookViewId="0">
      <selection activeCell="A11" sqref="A11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2.5703125" bestFit="1" customWidth="1"/>
    <col min="4" max="4" width="23.5703125" bestFit="1" customWidth="1"/>
  </cols>
  <sheetData>
    <row r="3" spans="1:4" x14ac:dyDescent="0.25">
      <c r="A3" s="5" t="s">
        <v>276</v>
      </c>
      <c r="B3" t="s">
        <v>280</v>
      </c>
      <c r="C3" t="s">
        <v>281</v>
      </c>
      <c r="D3" t="s">
        <v>283</v>
      </c>
    </row>
    <row r="4" spans="1:4" x14ac:dyDescent="0.25">
      <c r="A4" s="6" t="s">
        <v>257</v>
      </c>
      <c r="B4">
        <v>681486.15750000009</v>
      </c>
      <c r="C4">
        <v>246679.69749999992</v>
      </c>
      <c r="D4" s="9">
        <v>0.36197315937411378</v>
      </c>
    </row>
    <row r="5" spans="1:4" x14ac:dyDescent="0.25">
      <c r="A5" s="6" t="s">
        <v>254</v>
      </c>
      <c r="B5">
        <v>621991.71950000047</v>
      </c>
      <c r="C5">
        <v>223574.18949999998</v>
      </c>
      <c r="D5" s="9">
        <v>0.3594488198005662</v>
      </c>
    </row>
    <row r="6" spans="1:4" x14ac:dyDescent="0.25">
      <c r="A6" s="6" t="s">
        <v>256</v>
      </c>
      <c r="B6">
        <v>604015.46</v>
      </c>
      <c r="C6">
        <v>209801.84000000003</v>
      </c>
      <c r="D6" s="9">
        <v>0.34734514907946235</v>
      </c>
    </row>
    <row r="7" spans="1:4" x14ac:dyDescent="0.25">
      <c r="A7" s="6" t="s">
        <v>258</v>
      </c>
      <c r="B7">
        <v>601088.59049999982</v>
      </c>
      <c r="C7">
        <v>221301.48050000001</v>
      </c>
      <c r="D7" s="9">
        <v>0.3681678275009615</v>
      </c>
    </row>
    <row r="8" spans="1:4" x14ac:dyDescent="0.25">
      <c r="A8" s="6" t="s">
        <v>259</v>
      </c>
      <c r="B8">
        <v>566898.30250000011</v>
      </c>
      <c r="C8">
        <v>207862.66250000006</v>
      </c>
      <c r="D8" s="9">
        <v>0.36666658126040169</v>
      </c>
    </row>
    <row r="9" spans="1:4" x14ac:dyDescent="0.25">
      <c r="A9" s="6" t="s">
        <v>255</v>
      </c>
      <c r="B9">
        <v>563863.51400000008</v>
      </c>
      <c r="C9">
        <v>209636.75400000002</v>
      </c>
      <c r="D9" s="9">
        <v>0.37178634331711696</v>
      </c>
    </row>
    <row r="10" spans="1:4" x14ac:dyDescent="0.25">
      <c r="A10" s="6" t="s">
        <v>260</v>
      </c>
      <c r="B10">
        <v>497112.40699999989</v>
      </c>
      <c r="C10">
        <v>181382.997</v>
      </c>
      <c r="D10" s="9">
        <v>0.36487320462311462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09DF-0114-4D77-85E2-FFB3CA2225B4}">
  <dimension ref="A3:C12"/>
  <sheetViews>
    <sheetView zoomScale="124" workbookViewId="0">
      <selection activeCell="B4" sqref="B4"/>
    </sheetView>
  </sheetViews>
  <sheetFormatPr defaultRowHeight="15" x14ac:dyDescent="0.25"/>
  <cols>
    <col min="1" max="1" width="16.7109375" bestFit="1" customWidth="1"/>
    <col min="2" max="2" width="27.140625" bestFit="1" customWidth="1"/>
    <col min="3" max="3" width="15.5703125" bestFit="1" customWidth="1"/>
  </cols>
  <sheetData>
    <row r="3" spans="1:3" x14ac:dyDescent="0.25">
      <c r="A3" s="5" t="s">
        <v>284</v>
      </c>
      <c r="B3" t="s">
        <v>288</v>
      </c>
    </row>
    <row r="4" spans="1:3" x14ac:dyDescent="0.25">
      <c r="A4" s="6" t="s">
        <v>285</v>
      </c>
      <c r="B4" s="9">
        <v>0.4168591599991795</v>
      </c>
    </row>
    <row r="5" spans="1:3" x14ac:dyDescent="0.25">
      <c r="A5" s="6" t="s">
        <v>286</v>
      </c>
      <c r="B5" s="9">
        <v>0.34185731972694544</v>
      </c>
    </row>
    <row r="6" spans="1:3" x14ac:dyDescent="0.25">
      <c r="A6" s="6" t="s">
        <v>287</v>
      </c>
      <c r="B6" s="9">
        <v>0.25738441514747151</v>
      </c>
    </row>
    <row r="7" spans="1:3" x14ac:dyDescent="0.25">
      <c r="A7" s="6" t="s">
        <v>279</v>
      </c>
      <c r="B7" s="9">
        <v>0.36268718106374997</v>
      </c>
    </row>
    <row r="9" spans="1:3" x14ac:dyDescent="0.25">
      <c r="A9" s="5" t="s">
        <v>284</v>
      </c>
      <c r="B9" t="s">
        <v>288</v>
      </c>
      <c r="C9" t="s">
        <v>280</v>
      </c>
    </row>
    <row r="10" spans="1:3" x14ac:dyDescent="0.25">
      <c r="A10" s="6" t="s">
        <v>285</v>
      </c>
      <c r="B10" s="9">
        <v>0.4168591599991795</v>
      </c>
      <c r="C10">
        <v>2197222.4239999992</v>
      </c>
    </row>
    <row r="11" spans="1:3" x14ac:dyDescent="0.25">
      <c r="A11" s="6" t="s">
        <v>286</v>
      </c>
      <c r="B11" s="9">
        <v>0.34185731972694544</v>
      </c>
      <c r="C11">
        <v>1008356.3335000002</v>
      </c>
    </row>
    <row r="12" spans="1:3" x14ac:dyDescent="0.25">
      <c r="A12" s="6" t="s">
        <v>287</v>
      </c>
      <c r="B12" s="9">
        <v>0.25738441514747151</v>
      </c>
      <c r="C12">
        <v>930877.39349999954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A2FF-EC3B-4EA2-8593-BBD9E3EDDEC2}">
  <dimension ref="A3:O31"/>
  <sheetViews>
    <sheetView workbookViewId="0">
      <selection activeCell="A30" sqref="A30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5" t="s">
        <v>276</v>
      </c>
      <c r="B3" t="s">
        <v>280</v>
      </c>
    </row>
    <row r="4" spans="1:2" x14ac:dyDescent="0.25">
      <c r="A4" s="6" t="s">
        <v>289</v>
      </c>
      <c r="B4">
        <v>2042352.547</v>
      </c>
    </row>
    <row r="5" spans="1:2" x14ac:dyDescent="0.25">
      <c r="A5" s="10" t="s">
        <v>291</v>
      </c>
      <c r="B5">
        <v>208000.11699999994</v>
      </c>
    </row>
    <row r="6" spans="1:2" x14ac:dyDescent="0.25">
      <c r="A6" s="10" t="s">
        <v>292</v>
      </c>
      <c r="B6">
        <v>121850.7945</v>
      </c>
    </row>
    <row r="7" spans="1:2" x14ac:dyDescent="0.25">
      <c r="A7" s="10" t="s">
        <v>293</v>
      </c>
      <c r="B7">
        <v>168177.54</v>
      </c>
    </row>
    <row r="8" spans="1:2" x14ac:dyDescent="0.25">
      <c r="A8" s="10" t="s">
        <v>294</v>
      </c>
      <c r="B8">
        <v>137406.78599999999</v>
      </c>
    </row>
    <row r="9" spans="1:2" x14ac:dyDescent="0.25">
      <c r="A9" s="10" t="s">
        <v>295</v>
      </c>
      <c r="B9">
        <v>142096.49700000003</v>
      </c>
    </row>
    <row r="10" spans="1:2" x14ac:dyDescent="0.25">
      <c r="A10" s="10" t="s">
        <v>296</v>
      </c>
      <c r="B10">
        <v>242540.75099999999</v>
      </c>
    </row>
    <row r="11" spans="1:2" x14ac:dyDescent="0.25">
      <c r="A11" s="10" t="s">
        <v>297</v>
      </c>
      <c r="B11">
        <v>212820.12149999998</v>
      </c>
    </row>
    <row r="12" spans="1:2" x14ac:dyDescent="0.25">
      <c r="A12" s="10" t="s">
        <v>298</v>
      </c>
      <c r="B12">
        <v>152416.79600000006</v>
      </c>
    </row>
    <row r="13" spans="1:2" x14ac:dyDescent="0.25">
      <c r="A13" s="10" t="s">
        <v>299</v>
      </c>
      <c r="B13">
        <v>134848.29900000003</v>
      </c>
    </row>
    <row r="14" spans="1:2" x14ac:dyDescent="0.25">
      <c r="A14" s="10" t="s">
        <v>300</v>
      </c>
      <c r="B14">
        <v>174884.47800000003</v>
      </c>
    </row>
    <row r="15" spans="1:2" x14ac:dyDescent="0.25">
      <c r="A15" s="10" t="s">
        <v>301</v>
      </c>
      <c r="B15">
        <v>147508.47700000001</v>
      </c>
    </row>
    <row r="16" spans="1:2" x14ac:dyDescent="0.25">
      <c r="A16" s="10" t="s">
        <v>302</v>
      </c>
      <c r="B16">
        <v>199801.88999999998</v>
      </c>
    </row>
    <row r="17" spans="1:15" x14ac:dyDescent="0.25">
      <c r="A17" s="6" t="s">
        <v>290</v>
      </c>
      <c r="B17">
        <v>2094103.6040000001</v>
      </c>
    </row>
    <row r="18" spans="1:15" x14ac:dyDescent="0.25">
      <c r="A18" s="10" t="s">
        <v>291</v>
      </c>
      <c r="B18">
        <v>182735.84850000002</v>
      </c>
    </row>
    <row r="19" spans="1:15" x14ac:dyDescent="0.25">
      <c r="A19" s="10" t="s">
        <v>292</v>
      </c>
      <c r="B19">
        <v>162539.46649999998</v>
      </c>
    </row>
    <row r="20" spans="1:15" x14ac:dyDescent="0.25">
      <c r="A20" s="10" t="s">
        <v>293</v>
      </c>
      <c r="B20">
        <v>188062.62099999998</v>
      </c>
    </row>
    <row r="21" spans="1:15" x14ac:dyDescent="0.25">
      <c r="A21" s="10" t="s">
        <v>294</v>
      </c>
      <c r="B21">
        <v>138950.88199999998</v>
      </c>
    </row>
    <row r="22" spans="1:15" x14ac:dyDescent="0.25">
      <c r="A22" s="10" t="s">
        <v>295</v>
      </c>
      <c r="B22">
        <v>262771.53250000003</v>
      </c>
    </row>
    <row r="23" spans="1:15" x14ac:dyDescent="0.25">
      <c r="A23" s="10" t="s">
        <v>296</v>
      </c>
      <c r="B23">
        <v>140267.90400000001</v>
      </c>
    </row>
    <row r="24" spans="1:15" x14ac:dyDescent="0.25">
      <c r="A24" s="10" t="s">
        <v>297</v>
      </c>
      <c r="B24">
        <v>139299.26249999998</v>
      </c>
    </row>
    <row r="25" spans="1:15" x14ac:dyDescent="0.25">
      <c r="A25" s="10" t="s">
        <v>298</v>
      </c>
      <c r="B25">
        <v>167152.34700000001</v>
      </c>
    </row>
    <row r="26" spans="1:15" x14ac:dyDescent="0.25">
      <c r="A26" s="10" t="s">
        <v>299</v>
      </c>
      <c r="B26">
        <v>169681.34000000003</v>
      </c>
    </row>
    <row r="27" spans="1:15" x14ac:dyDescent="0.25">
      <c r="A27" s="10" t="s">
        <v>300</v>
      </c>
      <c r="B27">
        <v>277592.76849999989</v>
      </c>
    </row>
    <row r="28" spans="1:15" x14ac:dyDescent="0.25">
      <c r="A28" s="10" t="s">
        <v>301</v>
      </c>
      <c r="B28">
        <v>145414.54950000002</v>
      </c>
    </row>
    <row r="29" spans="1:15" x14ac:dyDescent="0.25">
      <c r="A29" s="10" t="s">
        <v>302</v>
      </c>
      <c r="B29">
        <v>119635.08199999999</v>
      </c>
    </row>
    <row r="31" spans="1:15" x14ac:dyDescent="0.25">
      <c r="O31" t="s">
        <v>303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64AB-F6FC-44B3-B50F-EE1B0FF734A0}">
  <dimension ref="A3:B13"/>
  <sheetViews>
    <sheetView zoomScale="91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3" spans="1:2" x14ac:dyDescent="0.25">
      <c r="A3" s="5" t="s">
        <v>276</v>
      </c>
      <c r="B3" t="s">
        <v>280</v>
      </c>
    </row>
    <row r="4" spans="1:2" x14ac:dyDescent="0.25">
      <c r="A4" s="6" t="s">
        <v>29</v>
      </c>
      <c r="B4" s="7">
        <v>140938.9</v>
      </c>
    </row>
    <row r="5" spans="1:2" x14ac:dyDescent="0.25">
      <c r="A5" s="6" t="s">
        <v>30</v>
      </c>
      <c r="B5" s="7">
        <v>136741.128</v>
      </c>
    </row>
    <row r="6" spans="1:2" x14ac:dyDescent="0.25">
      <c r="A6" s="6" t="s">
        <v>56</v>
      </c>
      <c r="B6" s="7">
        <v>131082.0895</v>
      </c>
    </row>
    <row r="7" spans="1:2" x14ac:dyDescent="0.25">
      <c r="A7" s="6" t="s">
        <v>17</v>
      </c>
      <c r="B7" s="7">
        <v>116978.9705</v>
      </c>
    </row>
    <row r="8" spans="1:2" x14ac:dyDescent="0.25">
      <c r="A8" s="6" t="s">
        <v>42</v>
      </c>
      <c r="B8" s="7">
        <v>112548.00999999998</v>
      </c>
    </row>
    <row r="9" spans="1:2" x14ac:dyDescent="0.25">
      <c r="A9" s="6" t="s">
        <v>23</v>
      </c>
      <c r="B9" s="7">
        <v>112164.61250000002</v>
      </c>
    </row>
    <row r="10" spans="1:2" x14ac:dyDescent="0.25">
      <c r="A10" s="6" t="s">
        <v>12</v>
      </c>
      <c r="B10" s="7">
        <v>111412.73149999998</v>
      </c>
    </row>
    <row r="11" spans="1:2" x14ac:dyDescent="0.25">
      <c r="A11" s="6" t="s">
        <v>40</v>
      </c>
      <c r="B11" s="7">
        <v>109343.9235</v>
      </c>
    </row>
    <row r="12" spans="1:2" x14ac:dyDescent="0.25">
      <c r="A12" s="6" t="s">
        <v>28</v>
      </c>
      <c r="B12" s="7">
        <v>106021.746</v>
      </c>
    </row>
    <row r="13" spans="1:2" x14ac:dyDescent="0.25">
      <c r="A13" s="6" t="s">
        <v>36</v>
      </c>
      <c r="B13" s="7">
        <v>103622.03900000002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1A24-000F-42C3-AE90-9A76F6BC9232}">
  <dimension ref="A3:B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5" t="s">
        <v>276</v>
      </c>
      <c r="B3" t="s">
        <v>280</v>
      </c>
    </row>
    <row r="4" spans="1:2" x14ac:dyDescent="0.25">
      <c r="A4" s="6" t="s">
        <v>261</v>
      </c>
      <c r="B4" s="7">
        <v>1497268.7735000004</v>
      </c>
    </row>
    <row r="5" spans="1:2" x14ac:dyDescent="0.25">
      <c r="A5" s="6" t="s">
        <v>262</v>
      </c>
      <c r="B5" s="7">
        <v>1369516.4</v>
      </c>
    </row>
    <row r="6" spans="1:2" x14ac:dyDescent="0.25">
      <c r="A6" s="6" t="s">
        <v>268</v>
      </c>
      <c r="B6" s="7">
        <v>1269670.9774999991</v>
      </c>
    </row>
    <row r="7" spans="1:2" x14ac:dyDescent="0.25">
      <c r="A7" s="6" t="s">
        <v>279</v>
      </c>
      <c r="B7" s="7">
        <v>4136456.1509999996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1"/>
  <sheetViews>
    <sheetView topLeftCell="A2" zoomScale="108" workbookViewId="0">
      <selection activeCell="I24" sqref="A2:S701"/>
    </sheetView>
  </sheetViews>
  <sheetFormatPr defaultRowHeight="15" x14ac:dyDescent="0.25"/>
  <cols>
    <col min="1" max="1" width="11.42578125" customWidth="1"/>
    <col min="2" max="2" width="19.85546875" bestFit="1" customWidth="1"/>
    <col min="3" max="3" width="9.42578125" customWidth="1"/>
    <col min="4" max="4" width="11.42578125" customWidth="1"/>
    <col min="5" max="5" width="11.28515625" bestFit="1" customWidth="1"/>
    <col min="6" max="6" width="10.28515625" customWidth="1"/>
    <col min="7" max="7" width="10.7109375" customWidth="1"/>
    <col min="8" max="8" width="10.28515625" customWidth="1"/>
    <col min="9" max="9" width="22.140625" customWidth="1"/>
    <col min="10" max="10" width="13.140625" customWidth="1"/>
    <col min="11" max="11" width="15.42578125" customWidth="1"/>
    <col min="12" max="12" width="15.5703125" customWidth="1"/>
    <col min="13" max="13" width="12.5703125" customWidth="1"/>
    <col min="14" max="14" width="10.42578125" customWidth="1"/>
    <col min="15" max="15" width="15.28515625" customWidth="1"/>
    <col min="16" max="16" width="14.140625" style="2" customWidth="1"/>
    <col min="17" max="17" width="14.7109375" customWidth="1"/>
    <col min="18" max="18" width="13.57031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284</v>
      </c>
      <c r="J1" s="3" t="s">
        <v>8</v>
      </c>
      <c r="K1" s="3" t="s">
        <v>9</v>
      </c>
      <c r="L1" s="3" t="s">
        <v>10</v>
      </c>
      <c r="M1" s="3" t="s">
        <v>269</v>
      </c>
      <c r="N1" s="3" t="s">
        <v>270</v>
      </c>
      <c r="O1" s="3" t="s">
        <v>272</v>
      </c>
      <c r="P1" s="4" t="s">
        <v>271</v>
      </c>
      <c r="Q1" s="4" t="s">
        <v>273</v>
      </c>
      <c r="R1" s="4" t="s">
        <v>274</v>
      </c>
      <c r="S1" s="4" t="s">
        <v>275</v>
      </c>
    </row>
    <row r="2" spans="1:19" x14ac:dyDescent="0.25">
      <c r="A2">
        <v>100000</v>
      </c>
      <c r="B2" s="1">
        <v>44998</v>
      </c>
      <c r="C2" t="s">
        <v>11</v>
      </c>
      <c r="D2" t="s">
        <v>61</v>
      </c>
      <c r="E2" t="s">
        <v>254</v>
      </c>
      <c r="F2">
        <v>3</v>
      </c>
      <c r="G2">
        <v>4043.75</v>
      </c>
      <c r="H2">
        <v>5</v>
      </c>
      <c r="I2" t="str">
        <f>IF(Sales[[#This Row],[Discount]]&lt;=10,"0-10%",IF(Sales[[#This Row],[Discount]]&lt;=20,"10-20%","20-30%"))</f>
        <v>0-10%</v>
      </c>
      <c r="J2">
        <v>1840.03</v>
      </c>
      <c r="K2" t="s">
        <v>261</v>
      </c>
      <c r="L2" t="s">
        <v>263</v>
      </c>
      <c r="M2">
        <f>F2*J2</f>
        <v>5520.09</v>
      </c>
      <c r="N2">
        <f>F2*G2*(1-H2/100)</f>
        <v>11524.6875</v>
      </c>
      <c r="O2">
        <f>N2-M2</f>
        <v>6004.5974999999999</v>
      </c>
      <c r="P2" s="2">
        <f>O2/N2</f>
        <v>0.52102041812413569</v>
      </c>
      <c r="Q2" t="str">
        <f>IF(WEEKDAY(B2,2)&gt;5,"Weekend","Weekday")</f>
        <v>Weekday</v>
      </c>
      <c r="R2" t="str">
        <f>TEXT(B2,"mmm")</f>
        <v>Mar</v>
      </c>
      <c r="S2">
        <f>YEAR(B2)</f>
        <v>2023</v>
      </c>
    </row>
    <row r="3" spans="1:19" x14ac:dyDescent="0.25">
      <c r="A3">
        <v>100001</v>
      </c>
      <c r="B3" s="1">
        <v>45257</v>
      </c>
      <c r="C3" t="s">
        <v>12</v>
      </c>
      <c r="D3" t="s">
        <v>62</v>
      </c>
      <c r="E3" t="s">
        <v>254</v>
      </c>
      <c r="F3">
        <v>1</v>
      </c>
      <c r="G3">
        <v>1033.29</v>
      </c>
      <c r="H3">
        <v>15</v>
      </c>
      <c r="I3" t="str">
        <f>IF(Sales[[#This Row],[Discount]]&lt;=10,"0-10%",IF(Sales[[#This Row],[Discount]]&lt;=20,"10-20%","20-30%"))</f>
        <v>10-20%</v>
      </c>
      <c r="J3">
        <v>461.67</v>
      </c>
      <c r="K3" t="s">
        <v>262</v>
      </c>
      <c r="L3" t="s">
        <v>264</v>
      </c>
      <c r="M3">
        <f t="shared" ref="M3:M66" si="0">F3*J3</f>
        <v>461.67</v>
      </c>
      <c r="N3">
        <f t="shared" ref="N3:N66" si="1">F3*G3*(1-H3/100)</f>
        <v>878.29649999999992</v>
      </c>
      <c r="O3">
        <f t="shared" ref="O3:O66" si="2">N3-M3</f>
        <v>416.62649999999991</v>
      </c>
      <c r="P3" s="2">
        <f t="shared" ref="P3:P66" si="3">O3/N3</f>
        <v>0.47435746356725766</v>
      </c>
      <c r="Q3" t="str">
        <f t="shared" ref="Q3:Q66" si="4">IF(WEEKDAY(B3,2)&gt;5,"Weekend","Weekday")</f>
        <v>Weekday</v>
      </c>
      <c r="R3" t="str">
        <f t="shared" ref="R3:R66" si="5">TEXT(B3,"mmm")</f>
        <v>Nov</v>
      </c>
      <c r="S3">
        <f t="shared" ref="S3:S66" si="6">YEAR(B3)</f>
        <v>2023</v>
      </c>
    </row>
    <row r="4" spans="1:19" x14ac:dyDescent="0.25">
      <c r="A4">
        <v>100002</v>
      </c>
      <c r="B4" s="1">
        <v>45588</v>
      </c>
      <c r="C4" t="s">
        <v>13</v>
      </c>
      <c r="D4" t="s">
        <v>63</v>
      </c>
      <c r="E4" t="s">
        <v>255</v>
      </c>
      <c r="F4">
        <v>1</v>
      </c>
      <c r="G4">
        <v>3125.24</v>
      </c>
      <c r="H4">
        <v>5</v>
      </c>
      <c r="I4" t="str">
        <f>IF(Sales[[#This Row],[Discount]]&lt;=10,"0-10%",IF(Sales[[#This Row],[Discount]]&lt;=20,"10-20%","20-30%"))</f>
        <v>0-10%</v>
      </c>
      <c r="J4">
        <v>1913.97</v>
      </c>
      <c r="K4" t="s">
        <v>262</v>
      </c>
      <c r="L4" t="s">
        <v>265</v>
      </c>
      <c r="M4">
        <f t="shared" si="0"/>
        <v>1913.97</v>
      </c>
      <c r="N4">
        <f t="shared" si="1"/>
        <v>2968.9779999999996</v>
      </c>
      <c r="O4">
        <f t="shared" si="2"/>
        <v>1055.0079999999996</v>
      </c>
      <c r="P4" s="2">
        <f t="shared" si="3"/>
        <v>0.35534382538368414</v>
      </c>
      <c r="Q4" t="str">
        <f t="shared" si="4"/>
        <v>Weekday</v>
      </c>
      <c r="R4" t="str">
        <f t="shared" si="5"/>
        <v>Oct</v>
      </c>
      <c r="S4">
        <f t="shared" si="6"/>
        <v>2024</v>
      </c>
    </row>
    <row r="5" spans="1:19" x14ac:dyDescent="0.25">
      <c r="A5">
        <v>100003</v>
      </c>
      <c r="B5" s="1">
        <v>45312</v>
      </c>
      <c r="C5" t="s">
        <v>14</v>
      </c>
      <c r="D5" t="s">
        <v>64</v>
      </c>
      <c r="E5" t="s">
        <v>256</v>
      </c>
      <c r="F5">
        <v>2</v>
      </c>
      <c r="G5">
        <v>3693.39</v>
      </c>
      <c r="H5">
        <v>5</v>
      </c>
      <c r="I5" t="str">
        <f>IF(Sales[[#This Row],[Discount]]&lt;=10,"0-10%",IF(Sales[[#This Row],[Discount]]&lt;=20,"10-20%","20-30%"))</f>
        <v>0-10%</v>
      </c>
      <c r="J5">
        <v>2517.29</v>
      </c>
      <c r="K5" t="s">
        <v>268</v>
      </c>
      <c r="L5" t="s">
        <v>264</v>
      </c>
      <c r="M5">
        <f t="shared" si="0"/>
        <v>5034.58</v>
      </c>
      <c r="N5">
        <f t="shared" si="1"/>
        <v>7017.4409999999998</v>
      </c>
      <c r="O5">
        <f t="shared" si="2"/>
        <v>1982.8609999999999</v>
      </c>
      <c r="P5" s="2">
        <f t="shared" si="3"/>
        <v>0.28256183415008407</v>
      </c>
      <c r="Q5" t="str">
        <f t="shared" si="4"/>
        <v>Weekend</v>
      </c>
      <c r="R5" t="str">
        <f t="shared" si="5"/>
        <v>Jan</v>
      </c>
      <c r="S5">
        <f t="shared" si="6"/>
        <v>2024</v>
      </c>
    </row>
    <row r="6" spans="1:19" x14ac:dyDescent="0.25">
      <c r="A6">
        <v>100004</v>
      </c>
      <c r="B6" s="1">
        <v>44948</v>
      </c>
      <c r="C6" t="s">
        <v>15</v>
      </c>
      <c r="D6" t="s">
        <v>65</v>
      </c>
      <c r="E6" t="s">
        <v>256</v>
      </c>
      <c r="F6">
        <v>4</v>
      </c>
      <c r="G6">
        <v>1162</v>
      </c>
      <c r="H6">
        <v>0</v>
      </c>
      <c r="I6" t="str">
        <f>IF(Sales[[#This Row],[Discount]]&lt;=10,"0-10%",IF(Sales[[#This Row],[Discount]]&lt;=20,"10-20%","20-30%"))</f>
        <v>0-10%</v>
      </c>
      <c r="J6">
        <v>570.86</v>
      </c>
      <c r="K6" t="s">
        <v>268</v>
      </c>
      <c r="L6" t="s">
        <v>264</v>
      </c>
      <c r="M6">
        <f t="shared" si="0"/>
        <v>2283.44</v>
      </c>
      <c r="N6">
        <f t="shared" si="1"/>
        <v>4648</v>
      </c>
      <c r="O6">
        <f t="shared" si="2"/>
        <v>2364.56</v>
      </c>
      <c r="P6" s="2">
        <f t="shared" si="3"/>
        <v>0.50872633390705679</v>
      </c>
      <c r="Q6" t="str">
        <f t="shared" si="4"/>
        <v>Weekend</v>
      </c>
      <c r="R6" t="str">
        <f t="shared" si="5"/>
        <v>Jan</v>
      </c>
      <c r="S6">
        <f t="shared" si="6"/>
        <v>2023</v>
      </c>
    </row>
    <row r="7" spans="1:19" x14ac:dyDescent="0.25">
      <c r="A7">
        <v>100005</v>
      </c>
      <c r="B7" s="1">
        <v>45402</v>
      </c>
      <c r="C7" t="s">
        <v>16</v>
      </c>
      <c r="D7" t="s">
        <v>66</v>
      </c>
      <c r="E7" t="s">
        <v>255</v>
      </c>
      <c r="F7">
        <v>1</v>
      </c>
      <c r="G7">
        <v>2766.44</v>
      </c>
      <c r="H7">
        <v>30</v>
      </c>
      <c r="I7" t="str">
        <f>IF(Sales[[#This Row],[Discount]]&lt;=10,"0-10%",IF(Sales[[#This Row],[Discount]]&lt;=20,"10-20%","20-30%"))</f>
        <v>20-30%</v>
      </c>
      <c r="J7">
        <v>1438.43</v>
      </c>
      <c r="K7" t="s">
        <v>268</v>
      </c>
      <c r="L7" t="s">
        <v>266</v>
      </c>
      <c r="M7">
        <f t="shared" si="0"/>
        <v>1438.43</v>
      </c>
      <c r="N7">
        <f t="shared" si="1"/>
        <v>1936.5079999999998</v>
      </c>
      <c r="O7">
        <f t="shared" si="2"/>
        <v>498.07799999999975</v>
      </c>
      <c r="P7" s="2">
        <f t="shared" si="3"/>
        <v>0.25720420468182925</v>
      </c>
      <c r="Q7" t="str">
        <f t="shared" si="4"/>
        <v>Weekend</v>
      </c>
      <c r="R7" t="str">
        <f t="shared" si="5"/>
        <v>Apr</v>
      </c>
      <c r="S7">
        <f t="shared" si="6"/>
        <v>2024</v>
      </c>
    </row>
    <row r="8" spans="1:19" x14ac:dyDescent="0.25">
      <c r="A8">
        <v>100006</v>
      </c>
      <c r="B8" s="1">
        <v>45489</v>
      </c>
      <c r="C8" t="s">
        <v>17</v>
      </c>
      <c r="D8" t="s">
        <v>67</v>
      </c>
      <c r="E8" t="s">
        <v>257</v>
      </c>
      <c r="F8">
        <v>4</v>
      </c>
      <c r="G8">
        <v>1394.03</v>
      </c>
      <c r="H8">
        <v>0</v>
      </c>
      <c r="I8" t="str">
        <f>IF(Sales[[#This Row],[Discount]]&lt;=10,"0-10%",IF(Sales[[#This Row],[Discount]]&lt;=20,"10-20%","20-30%"))</f>
        <v>0-10%</v>
      </c>
      <c r="J8">
        <v>595.5</v>
      </c>
      <c r="K8" t="s">
        <v>262</v>
      </c>
      <c r="L8" t="s">
        <v>267</v>
      </c>
      <c r="M8">
        <f t="shared" si="0"/>
        <v>2382</v>
      </c>
      <c r="N8">
        <f t="shared" si="1"/>
        <v>5576.12</v>
      </c>
      <c r="O8">
        <f t="shared" si="2"/>
        <v>3194.12</v>
      </c>
      <c r="P8" s="2">
        <f t="shared" si="3"/>
        <v>0.57282124487995234</v>
      </c>
      <c r="Q8" t="str">
        <f t="shared" si="4"/>
        <v>Weekday</v>
      </c>
      <c r="R8" t="str">
        <f t="shared" si="5"/>
        <v>Jul</v>
      </c>
      <c r="S8">
        <f t="shared" si="6"/>
        <v>2024</v>
      </c>
    </row>
    <row r="9" spans="1:19" x14ac:dyDescent="0.25">
      <c r="A9">
        <v>100007</v>
      </c>
      <c r="B9" s="1">
        <v>45411</v>
      </c>
      <c r="C9" t="s">
        <v>18</v>
      </c>
      <c r="D9" t="s">
        <v>68</v>
      </c>
      <c r="E9" t="s">
        <v>256</v>
      </c>
      <c r="F9">
        <v>3</v>
      </c>
      <c r="G9">
        <v>4921.1899999999996</v>
      </c>
      <c r="H9">
        <v>25</v>
      </c>
      <c r="I9" t="str">
        <f>IF(Sales[[#This Row],[Discount]]&lt;=10,"0-10%",IF(Sales[[#This Row],[Discount]]&lt;=20,"10-20%","20-30%"))</f>
        <v>20-30%</v>
      </c>
      <c r="J9">
        <v>2657.58</v>
      </c>
      <c r="K9" t="s">
        <v>262</v>
      </c>
      <c r="L9" t="s">
        <v>266</v>
      </c>
      <c r="M9">
        <f t="shared" si="0"/>
        <v>7972.74</v>
      </c>
      <c r="N9">
        <f t="shared" si="1"/>
        <v>11072.6775</v>
      </c>
      <c r="O9">
        <f t="shared" si="2"/>
        <v>3099.9375</v>
      </c>
      <c r="P9" s="2">
        <f t="shared" si="3"/>
        <v>0.27996277323167773</v>
      </c>
      <c r="Q9" t="str">
        <f t="shared" si="4"/>
        <v>Weekday</v>
      </c>
      <c r="R9" t="str">
        <f t="shared" si="5"/>
        <v>Apr</v>
      </c>
      <c r="S9">
        <f t="shared" si="6"/>
        <v>2024</v>
      </c>
    </row>
    <row r="10" spans="1:19" x14ac:dyDescent="0.25">
      <c r="A10">
        <v>100008</v>
      </c>
      <c r="B10" s="1">
        <v>45314</v>
      </c>
      <c r="C10" t="s">
        <v>19</v>
      </c>
      <c r="D10" t="s">
        <v>65</v>
      </c>
      <c r="E10" t="s">
        <v>255</v>
      </c>
      <c r="F10">
        <v>3</v>
      </c>
      <c r="G10">
        <v>1101.46</v>
      </c>
      <c r="H10">
        <v>5</v>
      </c>
      <c r="I10" t="str">
        <f>IF(Sales[[#This Row],[Discount]]&lt;=10,"0-10%",IF(Sales[[#This Row],[Discount]]&lt;=20,"10-20%","20-30%"))</f>
        <v>0-10%</v>
      </c>
      <c r="J10">
        <v>462.08</v>
      </c>
      <c r="K10" t="s">
        <v>262</v>
      </c>
      <c r="L10" t="s">
        <v>266</v>
      </c>
      <c r="M10">
        <f t="shared" si="0"/>
        <v>1386.24</v>
      </c>
      <c r="N10">
        <f t="shared" si="1"/>
        <v>3139.1610000000001</v>
      </c>
      <c r="O10">
        <f t="shared" si="2"/>
        <v>1752.921</v>
      </c>
      <c r="P10" s="2">
        <f t="shared" si="3"/>
        <v>0.55840429974760775</v>
      </c>
      <c r="Q10" t="str">
        <f t="shared" si="4"/>
        <v>Weekday</v>
      </c>
      <c r="R10" t="str">
        <f t="shared" si="5"/>
        <v>Jan</v>
      </c>
      <c r="S10">
        <f t="shared" si="6"/>
        <v>2024</v>
      </c>
    </row>
    <row r="11" spans="1:19" x14ac:dyDescent="0.25">
      <c r="A11">
        <v>100009</v>
      </c>
      <c r="B11" s="1">
        <v>45272</v>
      </c>
      <c r="C11" t="s">
        <v>20</v>
      </c>
      <c r="D11" t="s">
        <v>63</v>
      </c>
      <c r="E11" t="s">
        <v>258</v>
      </c>
      <c r="F11">
        <v>4</v>
      </c>
      <c r="G11">
        <v>2947.45</v>
      </c>
      <c r="H11">
        <v>25</v>
      </c>
      <c r="I11" t="str">
        <f>IF(Sales[[#This Row],[Discount]]&lt;=10,"0-10%",IF(Sales[[#This Row],[Discount]]&lt;=20,"10-20%","20-30%"))</f>
        <v>20-30%</v>
      </c>
      <c r="J11">
        <v>1519.78</v>
      </c>
      <c r="K11" t="s">
        <v>262</v>
      </c>
      <c r="L11" t="s">
        <v>267</v>
      </c>
      <c r="M11">
        <f t="shared" si="0"/>
        <v>6079.12</v>
      </c>
      <c r="N11">
        <f t="shared" si="1"/>
        <v>8842.3499999999985</v>
      </c>
      <c r="O11">
        <f t="shared" si="2"/>
        <v>2763.2299999999987</v>
      </c>
      <c r="P11" s="2">
        <f t="shared" si="3"/>
        <v>0.31249950522202796</v>
      </c>
      <c r="Q11" t="str">
        <f t="shared" si="4"/>
        <v>Weekday</v>
      </c>
      <c r="R11" t="str">
        <f t="shared" si="5"/>
        <v>Dec</v>
      </c>
      <c r="S11">
        <f t="shared" si="6"/>
        <v>2023</v>
      </c>
    </row>
    <row r="12" spans="1:19" x14ac:dyDescent="0.25">
      <c r="A12">
        <v>100010</v>
      </c>
      <c r="B12" s="1">
        <v>45381</v>
      </c>
      <c r="C12" t="s">
        <v>21</v>
      </c>
      <c r="D12" t="s">
        <v>69</v>
      </c>
      <c r="E12" t="s">
        <v>259</v>
      </c>
      <c r="F12">
        <v>2</v>
      </c>
      <c r="G12">
        <v>3515.9</v>
      </c>
      <c r="H12">
        <v>5</v>
      </c>
      <c r="I12" t="str">
        <f>IF(Sales[[#This Row],[Discount]]&lt;=10,"0-10%",IF(Sales[[#This Row],[Discount]]&lt;=20,"10-20%","20-30%"))</f>
        <v>0-10%</v>
      </c>
      <c r="J12">
        <v>1870.62</v>
      </c>
      <c r="K12" t="s">
        <v>268</v>
      </c>
      <c r="L12" t="s">
        <v>266</v>
      </c>
      <c r="M12">
        <f t="shared" si="0"/>
        <v>3741.24</v>
      </c>
      <c r="N12">
        <f t="shared" si="1"/>
        <v>6680.21</v>
      </c>
      <c r="O12">
        <f t="shared" si="2"/>
        <v>2938.9700000000003</v>
      </c>
      <c r="P12" s="2">
        <f t="shared" si="3"/>
        <v>0.43995173804416332</v>
      </c>
      <c r="Q12" t="str">
        <f t="shared" si="4"/>
        <v>Weekend</v>
      </c>
      <c r="R12" t="str">
        <f t="shared" si="5"/>
        <v>Mar</v>
      </c>
      <c r="S12">
        <f t="shared" si="6"/>
        <v>2024</v>
      </c>
    </row>
    <row r="13" spans="1:19" x14ac:dyDescent="0.25">
      <c r="A13">
        <v>100011</v>
      </c>
      <c r="B13" s="1">
        <v>45007</v>
      </c>
      <c r="C13" t="s">
        <v>22</v>
      </c>
      <c r="D13" t="s">
        <v>70</v>
      </c>
      <c r="E13" t="s">
        <v>256</v>
      </c>
      <c r="F13">
        <v>1</v>
      </c>
      <c r="G13">
        <v>4216.0200000000004</v>
      </c>
      <c r="H13">
        <v>25</v>
      </c>
      <c r="I13" t="str">
        <f>IF(Sales[[#This Row],[Discount]]&lt;=10,"0-10%",IF(Sales[[#This Row],[Discount]]&lt;=20,"10-20%","20-30%"))</f>
        <v>20-30%</v>
      </c>
      <c r="J13">
        <v>1905.68</v>
      </c>
      <c r="K13" t="s">
        <v>268</v>
      </c>
      <c r="L13" t="s">
        <v>265</v>
      </c>
      <c r="M13">
        <f t="shared" si="0"/>
        <v>1905.68</v>
      </c>
      <c r="N13">
        <f t="shared" si="1"/>
        <v>3162.0150000000003</v>
      </c>
      <c r="O13">
        <f t="shared" si="2"/>
        <v>1256.3350000000003</v>
      </c>
      <c r="P13" s="2">
        <f t="shared" si="3"/>
        <v>0.39732101207616033</v>
      </c>
      <c r="Q13" t="str">
        <f t="shared" si="4"/>
        <v>Weekday</v>
      </c>
      <c r="R13" t="str">
        <f t="shared" si="5"/>
        <v>Mar</v>
      </c>
      <c r="S13">
        <f t="shared" si="6"/>
        <v>2023</v>
      </c>
    </row>
    <row r="14" spans="1:19" x14ac:dyDescent="0.25">
      <c r="A14">
        <v>100012</v>
      </c>
      <c r="B14" s="1">
        <v>45316</v>
      </c>
      <c r="C14" t="s">
        <v>23</v>
      </c>
      <c r="D14" t="s">
        <v>71</v>
      </c>
      <c r="E14" t="s">
        <v>256</v>
      </c>
      <c r="F14">
        <v>2</v>
      </c>
      <c r="G14">
        <v>3413.85</v>
      </c>
      <c r="H14">
        <v>0</v>
      </c>
      <c r="I14" t="str">
        <f>IF(Sales[[#This Row],[Discount]]&lt;=10,"0-10%",IF(Sales[[#This Row],[Discount]]&lt;=20,"10-20%","20-30%"))</f>
        <v>0-10%</v>
      </c>
      <c r="J14">
        <v>1684.78</v>
      </c>
      <c r="K14" t="s">
        <v>261</v>
      </c>
      <c r="L14" t="s">
        <v>265</v>
      </c>
      <c r="M14">
        <f t="shared" si="0"/>
        <v>3369.56</v>
      </c>
      <c r="N14">
        <f t="shared" si="1"/>
        <v>6827.7</v>
      </c>
      <c r="O14">
        <f t="shared" si="2"/>
        <v>3458.14</v>
      </c>
      <c r="P14" s="2">
        <f t="shared" si="3"/>
        <v>0.50648681107840121</v>
      </c>
      <c r="Q14" t="str">
        <f t="shared" si="4"/>
        <v>Weekday</v>
      </c>
      <c r="R14" t="str">
        <f t="shared" si="5"/>
        <v>Jan</v>
      </c>
      <c r="S14">
        <f t="shared" si="6"/>
        <v>2024</v>
      </c>
    </row>
    <row r="15" spans="1:19" x14ac:dyDescent="0.25">
      <c r="A15">
        <v>100013</v>
      </c>
      <c r="B15" s="1">
        <v>45328</v>
      </c>
      <c r="C15" t="s">
        <v>24</v>
      </c>
      <c r="D15" t="s">
        <v>72</v>
      </c>
      <c r="E15" t="s">
        <v>255</v>
      </c>
      <c r="F15">
        <v>2</v>
      </c>
      <c r="G15">
        <v>2968.19</v>
      </c>
      <c r="H15">
        <v>15</v>
      </c>
      <c r="I15" t="str">
        <f>IF(Sales[[#This Row],[Discount]]&lt;=10,"0-10%",IF(Sales[[#This Row],[Discount]]&lt;=20,"10-20%","20-30%"))</f>
        <v>10-20%</v>
      </c>
      <c r="J15">
        <v>1215.1600000000001</v>
      </c>
      <c r="K15" t="s">
        <v>261</v>
      </c>
      <c r="L15" t="s">
        <v>267</v>
      </c>
      <c r="M15">
        <f t="shared" si="0"/>
        <v>2430.3200000000002</v>
      </c>
      <c r="N15">
        <f t="shared" si="1"/>
        <v>5045.9229999999998</v>
      </c>
      <c r="O15">
        <f t="shared" si="2"/>
        <v>2615.6029999999996</v>
      </c>
      <c r="P15" s="2">
        <f t="shared" si="3"/>
        <v>0.51835967374056235</v>
      </c>
      <c r="Q15" t="str">
        <f t="shared" si="4"/>
        <v>Weekday</v>
      </c>
      <c r="R15" t="str">
        <f t="shared" si="5"/>
        <v>Feb</v>
      </c>
      <c r="S15">
        <f t="shared" si="6"/>
        <v>2024</v>
      </c>
    </row>
    <row r="16" spans="1:19" x14ac:dyDescent="0.25">
      <c r="A16">
        <v>100014</v>
      </c>
      <c r="B16" s="1">
        <v>45197</v>
      </c>
      <c r="C16" t="s">
        <v>25</v>
      </c>
      <c r="D16" t="s">
        <v>73</v>
      </c>
      <c r="E16" t="s">
        <v>258</v>
      </c>
      <c r="F16">
        <v>2</v>
      </c>
      <c r="G16">
        <v>2157.21</v>
      </c>
      <c r="H16">
        <v>25</v>
      </c>
      <c r="I16" t="str">
        <f>IF(Sales[[#This Row],[Discount]]&lt;=10,"0-10%",IF(Sales[[#This Row],[Discount]]&lt;=20,"10-20%","20-30%"))</f>
        <v>20-30%</v>
      </c>
      <c r="J16">
        <v>1462.58</v>
      </c>
      <c r="K16" t="s">
        <v>261</v>
      </c>
      <c r="L16" t="s">
        <v>263</v>
      </c>
      <c r="M16">
        <f t="shared" si="0"/>
        <v>2925.16</v>
      </c>
      <c r="N16">
        <f t="shared" si="1"/>
        <v>3235.8150000000001</v>
      </c>
      <c r="O16">
        <f t="shared" si="2"/>
        <v>310.6550000000002</v>
      </c>
      <c r="P16" s="2">
        <f t="shared" si="3"/>
        <v>9.6005179529732143E-2</v>
      </c>
      <c r="Q16" t="str">
        <f t="shared" si="4"/>
        <v>Weekday</v>
      </c>
      <c r="R16" t="str">
        <f t="shared" si="5"/>
        <v>Sep</v>
      </c>
      <c r="S16">
        <f t="shared" si="6"/>
        <v>2023</v>
      </c>
    </row>
    <row r="17" spans="1:19" x14ac:dyDescent="0.25">
      <c r="A17">
        <v>100015</v>
      </c>
      <c r="B17" s="1">
        <v>44979</v>
      </c>
      <c r="C17" t="s">
        <v>26</v>
      </c>
      <c r="D17" t="s">
        <v>74</v>
      </c>
      <c r="E17" t="s">
        <v>254</v>
      </c>
      <c r="F17">
        <v>4</v>
      </c>
      <c r="G17">
        <v>4269.3100000000004</v>
      </c>
      <c r="H17">
        <v>20</v>
      </c>
      <c r="I17" t="str">
        <f>IF(Sales[[#This Row],[Discount]]&lt;=10,"0-10%",IF(Sales[[#This Row],[Discount]]&lt;=20,"10-20%","20-30%"))</f>
        <v>10-20%</v>
      </c>
      <c r="J17">
        <v>2664.89</v>
      </c>
      <c r="K17" t="s">
        <v>268</v>
      </c>
      <c r="L17" t="s">
        <v>265</v>
      </c>
      <c r="M17">
        <f t="shared" si="0"/>
        <v>10659.56</v>
      </c>
      <c r="N17">
        <f t="shared" si="1"/>
        <v>13661.792000000001</v>
      </c>
      <c r="O17">
        <f t="shared" si="2"/>
        <v>3002.2320000000018</v>
      </c>
      <c r="P17" s="2">
        <f t="shared" si="3"/>
        <v>0.2197538946574506</v>
      </c>
      <c r="Q17" t="str">
        <f t="shared" si="4"/>
        <v>Weekday</v>
      </c>
      <c r="R17" t="str">
        <f t="shared" si="5"/>
        <v>Feb</v>
      </c>
      <c r="S17">
        <f t="shared" si="6"/>
        <v>2023</v>
      </c>
    </row>
    <row r="18" spans="1:19" x14ac:dyDescent="0.25">
      <c r="A18">
        <v>100016</v>
      </c>
      <c r="B18" s="1">
        <v>45419</v>
      </c>
      <c r="C18" t="s">
        <v>27</v>
      </c>
      <c r="D18" t="s">
        <v>75</v>
      </c>
      <c r="E18" t="s">
        <v>254</v>
      </c>
      <c r="F18">
        <v>2</v>
      </c>
      <c r="G18">
        <v>4836.7</v>
      </c>
      <c r="H18">
        <v>10</v>
      </c>
      <c r="I18" t="str">
        <f>IF(Sales[[#This Row],[Discount]]&lt;=10,"0-10%",IF(Sales[[#This Row],[Discount]]&lt;=20,"10-20%","20-30%"))</f>
        <v>0-10%</v>
      </c>
      <c r="J18">
        <v>2815.49</v>
      </c>
      <c r="K18" t="s">
        <v>262</v>
      </c>
      <c r="L18" t="s">
        <v>263</v>
      </c>
      <c r="M18">
        <f t="shared" si="0"/>
        <v>5630.98</v>
      </c>
      <c r="N18">
        <f t="shared" si="1"/>
        <v>8706.06</v>
      </c>
      <c r="O18">
        <f t="shared" si="2"/>
        <v>3075.08</v>
      </c>
      <c r="P18" s="2">
        <f t="shared" si="3"/>
        <v>0.35321144122599663</v>
      </c>
      <c r="Q18" t="str">
        <f t="shared" si="4"/>
        <v>Weekday</v>
      </c>
      <c r="R18" t="str">
        <f t="shared" si="5"/>
        <v>May</v>
      </c>
      <c r="S18">
        <f t="shared" si="6"/>
        <v>2024</v>
      </c>
    </row>
    <row r="19" spans="1:19" x14ac:dyDescent="0.25">
      <c r="A19">
        <v>100017</v>
      </c>
      <c r="B19" s="1">
        <v>45447</v>
      </c>
      <c r="C19" t="s">
        <v>21</v>
      </c>
      <c r="D19" t="s">
        <v>62</v>
      </c>
      <c r="E19" t="s">
        <v>258</v>
      </c>
      <c r="F19">
        <v>1</v>
      </c>
      <c r="G19">
        <v>4070.33</v>
      </c>
      <c r="H19">
        <v>0</v>
      </c>
      <c r="I19" t="str">
        <f>IF(Sales[[#This Row],[Discount]]&lt;=10,"0-10%",IF(Sales[[#This Row],[Discount]]&lt;=20,"10-20%","20-30%"))</f>
        <v>0-10%</v>
      </c>
      <c r="J19">
        <v>1719.17</v>
      </c>
      <c r="K19" t="s">
        <v>268</v>
      </c>
      <c r="L19" t="s">
        <v>264</v>
      </c>
      <c r="M19">
        <f t="shared" si="0"/>
        <v>1719.17</v>
      </c>
      <c r="N19">
        <f t="shared" si="1"/>
        <v>4070.33</v>
      </c>
      <c r="O19">
        <f t="shared" si="2"/>
        <v>2351.16</v>
      </c>
      <c r="P19" s="2">
        <f t="shared" si="3"/>
        <v>0.57763375451130494</v>
      </c>
      <c r="Q19" t="str">
        <f t="shared" si="4"/>
        <v>Weekday</v>
      </c>
      <c r="R19" t="str">
        <f t="shared" si="5"/>
        <v>Jun</v>
      </c>
      <c r="S19">
        <f t="shared" si="6"/>
        <v>2024</v>
      </c>
    </row>
    <row r="20" spans="1:19" x14ac:dyDescent="0.25">
      <c r="A20">
        <v>100018</v>
      </c>
      <c r="B20" s="1">
        <v>45065</v>
      </c>
      <c r="C20" t="s">
        <v>28</v>
      </c>
      <c r="D20" t="s">
        <v>76</v>
      </c>
      <c r="E20" t="s">
        <v>258</v>
      </c>
      <c r="F20">
        <v>1</v>
      </c>
      <c r="G20">
        <v>1233.96</v>
      </c>
      <c r="H20">
        <v>15</v>
      </c>
      <c r="I20" t="str">
        <f>IF(Sales[[#This Row],[Discount]]&lt;=10,"0-10%",IF(Sales[[#This Row],[Discount]]&lt;=20,"10-20%","20-30%"))</f>
        <v>10-20%</v>
      </c>
      <c r="J20">
        <v>495.63</v>
      </c>
      <c r="K20" t="s">
        <v>262</v>
      </c>
      <c r="L20" t="s">
        <v>263</v>
      </c>
      <c r="M20">
        <f t="shared" si="0"/>
        <v>495.63</v>
      </c>
      <c r="N20">
        <f t="shared" si="1"/>
        <v>1048.866</v>
      </c>
      <c r="O20">
        <f t="shared" si="2"/>
        <v>553.23599999999999</v>
      </c>
      <c r="P20" s="2">
        <f t="shared" si="3"/>
        <v>0.5274610865448971</v>
      </c>
      <c r="Q20" t="str">
        <f t="shared" si="4"/>
        <v>Weekday</v>
      </c>
      <c r="R20" t="str">
        <f t="shared" si="5"/>
        <v>May</v>
      </c>
      <c r="S20">
        <f t="shared" si="6"/>
        <v>2023</v>
      </c>
    </row>
    <row r="21" spans="1:19" x14ac:dyDescent="0.25">
      <c r="A21">
        <v>100019</v>
      </c>
      <c r="B21" s="1">
        <v>45416</v>
      </c>
      <c r="C21" t="s">
        <v>29</v>
      </c>
      <c r="D21" t="s">
        <v>75</v>
      </c>
      <c r="E21" t="s">
        <v>255</v>
      </c>
      <c r="F21">
        <v>4</v>
      </c>
      <c r="G21">
        <v>3726.33</v>
      </c>
      <c r="H21">
        <v>0</v>
      </c>
      <c r="I21" t="str">
        <f>IF(Sales[[#This Row],[Discount]]&lt;=10,"0-10%",IF(Sales[[#This Row],[Discount]]&lt;=20,"10-20%","20-30%"))</f>
        <v>0-10%</v>
      </c>
      <c r="J21">
        <v>2352.73</v>
      </c>
      <c r="K21" t="s">
        <v>261</v>
      </c>
      <c r="L21" t="s">
        <v>265</v>
      </c>
      <c r="M21">
        <f t="shared" si="0"/>
        <v>9410.92</v>
      </c>
      <c r="N21">
        <f t="shared" si="1"/>
        <v>14905.32</v>
      </c>
      <c r="O21">
        <f t="shared" si="2"/>
        <v>5494.4</v>
      </c>
      <c r="P21" s="2">
        <f t="shared" si="3"/>
        <v>0.36862006317207546</v>
      </c>
      <c r="Q21" t="str">
        <f t="shared" si="4"/>
        <v>Weekend</v>
      </c>
      <c r="R21" t="str">
        <f t="shared" si="5"/>
        <v>May</v>
      </c>
      <c r="S21">
        <f t="shared" si="6"/>
        <v>2024</v>
      </c>
    </row>
    <row r="22" spans="1:19" x14ac:dyDescent="0.25">
      <c r="A22">
        <v>100020</v>
      </c>
      <c r="B22" s="1">
        <v>44959</v>
      </c>
      <c r="C22" t="s">
        <v>22</v>
      </c>
      <c r="D22" t="s">
        <v>77</v>
      </c>
      <c r="E22" t="s">
        <v>254</v>
      </c>
      <c r="F22">
        <v>4</v>
      </c>
      <c r="G22">
        <v>4356.59</v>
      </c>
      <c r="H22">
        <v>15</v>
      </c>
      <c r="I22" t="str">
        <f>IF(Sales[[#This Row],[Discount]]&lt;=10,"0-10%",IF(Sales[[#This Row],[Discount]]&lt;=20,"10-20%","20-30%"))</f>
        <v>10-20%</v>
      </c>
      <c r="J22">
        <v>2557.27</v>
      </c>
      <c r="K22" t="s">
        <v>261</v>
      </c>
      <c r="L22" t="s">
        <v>263</v>
      </c>
      <c r="M22">
        <f t="shared" si="0"/>
        <v>10229.08</v>
      </c>
      <c r="N22">
        <f t="shared" si="1"/>
        <v>14812.406000000001</v>
      </c>
      <c r="O22">
        <f t="shared" si="2"/>
        <v>4583.3260000000009</v>
      </c>
      <c r="P22" s="2">
        <f t="shared" si="3"/>
        <v>0.30942481592794585</v>
      </c>
      <c r="Q22" t="str">
        <f t="shared" si="4"/>
        <v>Weekday</v>
      </c>
      <c r="R22" t="str">
        <f t="shared" si="5"/>
        <v>Feb</v>
      </c>
      <c r="S22">
        <f t="shared" si="6"/>
        <v>2023</v>
      </c>
    </row>
    <row r="23" spans="1:19" x14ac:dyDescent="0.25">
      <c r="A23">
        <v>100021</v>
      </c>
      <c r="B23" s="1">
        <v>45025</v>
      </c>
      <c r="C23" t="s">
        <v>30</v>
      </c>
      <c r="D23" t="s">
        <v>69</v>
      </c>
      <c r="E23" t="s">
        <v>254</v>
      </c>
      <c r="F23">
        <v>3</v>
      </c>
      <c r="G23">
        <v>1761.62</v>
      </c>
      <c r="H23">
        <v>0</v>
      </c>
      <c r="I23" t="str">
        <f>IF(Sales[[#This Row],[Discount]]&lt;=10,"0-10%",IF(Sales[[#This Row],[Discount]]&lt;=20,"10-20%","20-30%"))</f>
        <v>0-10%</v>
      </c>
      <c r="J23">
        <v>876.5</v>
      </c>
      <c r="K23" t="s">
        <v>261</v>
      </c>
      <c r="L23" t="s">
        <v>263</v>
      </c>
      <c r="M23">
        <f t="shared" si="0"/>
        <v>2629.5</v>
      </c>
      <c r="N23">
        <f t="shared" si="1"/>
        <v>5284.86</v>
      </c>
      <c r="O23">
        <f t="shared" si="2"/>
        <v>2655.3599999999997</v>
      </c>
      <c r="P23" s="2">
        <f t="shared" si="3"/>
        <v>0.50244661164155713</v>
      </c>
      <c r="Q23" t="str">
        <f t="shared" si="4"/>
        <v>Weekend</v>
      </c>
      <c r="R23" t="str">
        <f t="shared" si="5"/>
        <v>Apr</v>
      </c>
      <c r="S23">
        <f t="shared" si="6"/>
        <v>2023</v>
      </c>
    </row>
    <row r="24" spans="1:19" x14ac:dyDescent="0.25">
      <c r="A24">
        <v>100022</v>
      </c>
      <c r="B24" s="1">
        <v>45539</v>
      </c>
      <c r="C24" t="s">
        <v>12</v>
      </c>
      <c r="D24" t="s">
        <v>78</v>
      </c>
      <c r="E24" t="s">
        <v>256</v>
      </c>
      <c r="F24">
        <v>4</v>
      </c>
      <c r="G24">
        <v>1591.19</v>
      </c>
      <c r="H24">
        <v>20</v>
      </c>
      <c r="I24" t="str">
        <f>IF(Sales[[#This Row],[Discount]]&lt;=10,"0-10%",IF(Sales[[#This Row],[Discount]]&lt;=20,"10-20%","20-30%"))</f>
        <v>10-20%</v>
      </c>
      <c r="J24">
        <v>904.39</v>
      </c>
      <c r="K24" t="s">
        <v>268</v>
      </c>
      <c r="L24" t="s">
        <v>264</v>
      </c>
      <c r="M24">
        <f t="shared" si="0"/>
        <v>3617.56</v>
      </c>
      <c r="N24">
        <f t="shared" si="1"/>
        <v>5091.8080000000009</v>
      </c>
      <c r="O24">
        <f t="shared" si="2"/>
        <v>1474.248000000001</v>
      </c>
      <c r="P24" s="2">
        <f t="shared" si="3"/>
        <v>0.28953330526209958</v>
      </c>
      <c r="Q24" t="str">
        <f t="shared" si="4"/>
        <v>Weekday</v>
      </c>
      <c r="R24" t="str">
        <f t="shared" si="5"/>
        <v>Sep</v>
      </c>
      <c r="S24">
        <f t="shared" si="6"/>
        <v>2024</v>
      </c>
    </row>
    <row r="25" spans="1:19" x14ac:dyDescent="0.25">
      <c r="A25">
        <v>100023</v>
      </c>
      <c r="B25" s="1">
        <v>45429</v>
      </c>
      <c r="C25" t="s">
        <v>31</v>
      </c>
      <c r="D25" t="s">
        <v>79</v>
      </c>
      <c r="E25" t="s">
        <v>260</v>
      </c>
      <c r="F25">
        <v>2</v>
      </c>
      <c r="G25">
        <v>4289.8900000000003</v>
      </c>
      <c r="H25">
        <v>20</v>
      </c>
      <c r="I25" t="str">
        <f>IF(Sales[[#This Row],[Discount]]&lt;=10,"0-10%",IF(Sales[[#This Row],[Discount]]&lt;=20,"10-20%","20-30%"))</f>
        <v>10-20%</v>
      </c>
      <c r="J25">
        <v>2644.8</v>
      </c>
      <c r="K25" t="s">
        <v>261</v>
      </c>
      <c r="L25" t="s">
        <v>264</v>
      </c>
      <c r="M25">
        <f t="shared" si="0"/>
        <v>5289.6</v>
      </c>
      <c r="N25">
        <f t="shared" si="1"/>
        <v>6863.8240000000005</v>
      </c>
      <c r="O25">
        <f t="shared" si="2"/>
        <v>1574.2240000000002</v>
      </c>
      <c r="P25" s="2">
        <f t="shared" si="3"/>
        <v>0.22935086913650468</v>
      </c>
      <c r="Q25" t="str">
        <f t="shared" si="4"/>
        <v>Weekday</v>
      </c>
      <c r="R25" t="str">
        <f t="shared" si="5"/>
        <v>May</v>
      </c>
      <c r="S25">
        <f t="shared" si="6"/>
        <v>2024</v>
      </c>
    </row>
    <row r="26" spans="1:19" x14ac:dyDescent="0.25">
      <c r="A26">
        <v>100024</v>
      </c>
      <c r="B26" s="1">
        <v>45480</v>
      </c>
      <c r="C26" t="s">
        <v>32</v>
      </c>
      <c r="D26" t="s">
        <v>80</v>
      </c>
      <c r="E26" t="s">
        <v>256</v>
      </c>
      <c r="F26">
        <v>3</v>
      </c>
      <c r="G26">
        <v>490.04</v>
      </c>
      <c r="H26">
        <v>30</v>
      </c>
      <c r="I26" t="str">
        <f>IF(Sales[[#This Row],[Discount]]&lt;=10,"0-10%",IF(Sales[[#This Row],[Discount]]&lt;=20,"10-20%","20-30%"))</f>
        <v>20-30%</v>
      </c>
      <c r="J26">
        <v>300.49</v>
      </c>
      <c r="K26" t="s">
        <v>262</v>
      </c>
      <c r="L26" t="s">
        <v>264</v>
      </c>
      <c r="M26">
        <f t="shared" si="0"/>
        <v>901.47</v>
      </c>
      <c r="N26">
        <f t="shared" si="1"/>
        <v>1029.0840000000001</v>
      </c>
      <c r="O26">
        <f t="shared" si="2"/>
        <v>127.61400000000003</v>
      </c>
      <c r="P26" s="2">
        <f t="shared" si="3"/>
        <v>0.12400736966078574</v>
      </c>
      <c r="Q26" t="str">
        <f t="shared" si="4"/>
        <v>Weekend</v>
      </c>
      <c r="R26" t="str">
        <f t="shared" si="5"/>
        <v>Jul</v>
      </c>
      <c r="S26">
        <f t="shared" si="6"/>
        <v>2024</v>
      </c>
    </row>
    <row r="27" spans="1:19" x14ac:dyDescent="0.25">
      <c r="A27">
        <v>100025</v>
      </c>
      <c r="B27" s="1">
        <v>45167</v>
      </c>
      <c r="C27" t="s">
        <v>19</v>
      </c>
      <c r="D27" t="s">
        <v>81</v>
      </c>
      <c r="E27" t="s">
        <v>257</v>
      </c>
      <c r="F27">
        <v>1</v>
      </c>
      <c r="G27">
        <v>1248.08</v>
      </c>
      <c r="H27">
        <v>0</v>
      </c>
      <c r="I27" t="str">
        <f>IF(Sales[[#This Row],[Discount]]&lt;=10,"0-10%",IF(Sales[[#This Row],[Discount]]&lt;=20,"10-20%","20-30%"))</f>
        <v>0-10%</v>
      </c>
      <c r="J27">
        <v>834.63</v>
      </c>
      <c r="K27" t="s">
        <v>262</v>
      </c>
      <c r="L27" t="s">
        <v>265</v>
      </c>
      <c r="M27">
        <f t="shared" si="0"/>
        <v>834.63</v>
      </c>
      <c r="N27">
        <f t="shared" si="1"/>
        <v>1248.08</v>
      </c>
      <c r="O27">
        <f t="shared" si="2"/>
        <v>413.44999999999993</v>
      </c>
      <c r="P27" s="2">
        <f t="shared" si="3"/>
        <v>0.33126882892122295</v>
      </c>
      <c r="Q27" t="str">
        <f t="shared" si="4"/>
        <v>Weekday</v>
      </c>
      <c r="R27" t="str">
        <f t="shared" si="5"/>
        <v>Aug</v>
      </c>
      <c r="S27">
        <f t="shared" si="6"/>
        <v>2023</v>
      </c>
    </row>
    <row r="28" spans="1:19" x14ac:dyDescent="0.25">
      <c r="A28">
        <v>100026</v>
      </c>
      <c r="B28" s="1">
        <v>45333</v>
      </c>
      <c r="C28" t="s">
        <v>33</v>
      </c>
      <c r="D28" t="s">
        <v>82</v>
      </c>
      <c r="E28" t="s">
        <v>256</v>
      </c>
      <c r="F28">
        <v>1</v>
      </c>
      <c r="G28">
        <v>2690.28</v>
      </c>
      <c r="H28">
        <v>10</v>
      </c>
      <c r="I28" t="str">
        <f>IF(Sales[[#This Row],[Discount]]&lt;=10,"0-10%",IF(Sales[[#This Row],[Discount]]&lt;=20,"10-20%","20-30%"))</f>
        <v>0-10%</v>
      </c>
      <c r="J28">
        <v>1808.59</v>
      </c>
      <c r="K28" t="s">
        <v>268</v>
      </c>
      <c r="L28" t="s">
        <v>267</v>
      </c>
      <c r="M28">
        <f t="shared" si="0"/>
        <v>1808.59</v>
      </c>
      <c r="N28">
        <f t="shared" si="1"/>
        <v>2421.2520000000004</v>
      </c>
      <c r="O28">
        <f t="shared" si="2"/>
        <v>612.66200000000049</v>
      </c>
      <c r="P28" s="2">
        <f t="shared" si="3"/>
        <v>0.2530352065790758</v>
      </c>
      <c r="Q28" t="str">
        <f t="shared" si="4"/>
        <v>Weekend</v>
      </c>
      <c r="R28" t="str">
        <f t="shared" si="5"/>
        <v>Feb</v>
      </c>
      <c r="S28">
        <f t="shared" si="6"/>
        <v>2024</v>
      </c>
    </row>
    <row r="29" spans="1:19" x14ac:dyDescent="0.25">
      <c r="A29">
        <v>100027</v>
      </c>
      <c r="B29" s="1">
        <v>45625</v>
      </c>
      <c r="C29" t="s">
        <v>21</v>
      </c>
      <c r="D29" t="s">
        <v>83</v>
      </c>
      <c r="E29" t="s">
        <v>255</v>
      </c>
      <c r="F29">
        <v>3</v>
      </c>
      <c r="G29">
        <v>1254.3900000000001</v>
      </c>
      <c r="H29">
        <v>5</v>
      </c>
      <c r="I29" t="str">
        <f>IF(Sales[[#This Row],[Discount]]&lt;=10,"0-10%",IF(Sales[[#This Row],[Discount]]&lt;=20,"10-20%","20-30%"))</f>
        <v>0-10%</v>
      </c>
      <c r="J29">
        <v>856.57</v>
      </c>
      <c r="K29" t="s">
        <v>268</v>
      </c>
      <c r="L29" t="s">
        <v>267</v>
      </c>
      <c r="M29">
        <f t="shared" si="0"/>
        <v>2569.71</v>
      </c>
      <c r="N29">
        <f t="shared" si="1"/>
        <v>3575.0115000000001</v>
      </c>
      <c r="O29">
        <f t="shared" si="2"/>
        <v>1005.3015</v>
      </c>
      <c r="P29" s="2">
        <f t="shared" si="3"/>
        <v>0.28120231221633835</v>
      </c>
      <c r="Q29" t="str">
        <f t="shared" si="4"/>
        <v>Weekday</v>
      </c>
      <c r="R29" t="str">
        <f t="shared" si="5"/>
        <v>Nov</v>
      </c>
      <c r="S29">
        <f t="shared" si="6"/>
        <v>2024</v>
      </c>
    </row>
    <row r="30" spans="1:19" x14ac:dyDescent="0.25">
      <c r="A30">
        <v>100028</v>
      </c>
      <c r="B30" s="1">
        <v>45572</v>
      </c>
      <c r="C30" t="s">
        <v>15</v>
      </c>
      <c r="D30" t="s">
        <v>84</v>
      </c>
      <c r="E30" t="s">
        <v>257</v>
      </c>
      <c r="F30">
        <v>4</v>
      </c>
      <c r="G30">
        <v>4669.58</v>
      </c>
      <c r="H30">
        <v>20</v>
      </c>
      <c r="I30" t="str">
        <f>IF(Sales[[#This Row],[Discount]]&lt;=10,"0-10%",IF(Sales[[#This Row],[Discount]]&lt;=20,"10-20%","20-30%"))</f>
        <v>10-20%</v>
      </c>
      <c r="J30">
        <v>2999.91</v>
      </c>
      <c r="K30" t="s">
        <v>262</v>
      </c>
      <c r="L30" t="s">
        <v>265</v>
      </c>
      <c r="M30">
        <f t="shared" si="0"/>
        <v>11999.64</v>
      </c>
      <c r="N30">
        <f t="shared" si="1"/>
        <v>14942.656000000001</v>
      </c>
      <c r="O30">
        <f t="shared" si="2"/>
        <v>2943.0160000000014</v>
      </c>
      <c r="P30" s="2">
        <f t="shared" si="3"/>
        <v>0.19695400871170435</v>
      </c>
      <c r="Q30" t="str">
        <f t="shared" si="4"/>
        <v>Weekday</v>
      </c>
      <c r="R30" t="str">
        <f t="shared" si="5"/>
        <v>Oct</v>
      </c>
      <c r="S30">
        <f t="shared" si="6"/>
        <v>2024</v>
      </c>
    </row>
    <row r="31" spans="1:19" x14ac:dyDescent="0.25">
      <c r="A31">
        <v>100029</v>
      </c>
      <c r="B31" s="1">
        <v>45257</v>
      </c>
      <c r="C31" t="s">
        <v>34</v>
      </c>
      <c r="D31" t="s">
        <v>85</v>
      </c>
      <c r="E31" t="s">
        <v>254</v>
      </c>
      <c r="F31">
        <v>4</v>
      </c>
      <c r="G31">
        <v>1326.67</v>
      </c>
      <c r="H31">
        <v>20</v>
      </c>
      <c r="I31" t="str">
        <f>IF(Sales[[#This Row],[Discount]]&lt;=10,"0-10%",IF(Sales[[#This Row],[Discount]]&lt;=20,"10-20%","20-30%"))</f>
        <v>10-20%</v>
      </c>
      <c r="J31">
        <v>696.44</v>
      </c>
      <c r="K31" t="s">
        <v>261</v>
      </c>
      <c r="L31" t="s">
        <v>265</v>
      </c>
      <c r="M31">
        <f t="shared" si="0"/>
        <v>2785.76</v>
      </c>
      <c r="N31">
        <f t="shared" si="1"/>
        <v>4245.3440000000001</v>
      </c>
      <c r="O31">
        <f t="shared" si="2"/>
        <v>1459.5839999999998</v>
      </c>
      <c r="P31" s="2">
        <f t="shared" si="3"/>
        <v>0.34380818138647889</v>
      </c>
      <c r="Q31" t="str">
        <f t="shared" si="4"/>
        <v>Weekday</v>
      </c>
      <c r="R31" t="str">
        <f t="shared" si="5"/>
        <v>Nov</v>
      </c>
      <c r="S31">
        <f t="shared" si="6"/>
        <v>2023</v>
      </c>
    </row>
    <row r="32" spans="1:19" x14ac:dyDescent="0.25">
      <c r="A32">
        <v>100030</v>
      </c>
      <c r="B32" s="1">
        <v>45116</v>
      </c>
      <c r="C32" t="s">
        <v>35</v>
      </c>
      <c r="D32" t="s">
        <v>86</v>
      </c>
      <c r="E32" t="s">
        <v>256</v>
      </c>
      <c r="F32">
        <v>2</v>
      </c>
      <c r="G32">
        <v>873.81</v>
      </c>
      <c r="H32">
        <v>20</v>
      </c>
      <c r="I32" t="str">
        <f>IF(Sales[[#This Row],[Discount]]&lt;=10,"0-10%",IF(Sales[[#This Row],[Discount]]&lt;=20,"10-20%","20-30%"))</f>
        <v>10-20%</v>
      </c>
      <c r="J32">
        <v>442.92</v>
      </c>
      <c r="K32" t="s">
        <v>261</v>
      </c>
      <c r="L32" t="s">
        <v>265</v>
      </c>
      <c r="M32">
        <f t="shared" si="0"/>
        <v>885.84</v>
      </c>
      <c r="N32">
        <f t="shared" si="1"/>
        <v>1398.096</v>
      </c>
      <c r="O32">
        <f t="shared" si="2"/>
        <v>512.25599999999997</v>
      </c>
      <c r="P32" s="2">
        <f t="shared" si="3"/>
        <v>0.36639544065643559</v>
      </c>
      <c r="Q32" t="str">
        <f t="shared" si="4"/>
        <v>Weekend</v>
      </c>
      <c r="R32" t="str">
        <f t="shared" si="5"/>
        <v>Jul</v>
      </c>
      <c r="S32">
        <f t="shared" si="6"/>
        <v>2023</v>
      </c>
    </row>
    <row r="33" spans="1:19" x14ac:dyDescent="0.25">
      <c r="A33">
        <v>100031</v>
      </c>
      <c r="B33" s="1">
        <v>45185</v>
      </c>
      <c r="C33" t="s">
        <v>36</v>
      </c>
      <c r="D33" t="s">
        <v>87</v>
      </c>
      <c r="E33" t="s">
        <v>257</v>
      </c>
      <c r="F33">
        <v>1</v>
      </c>
      <c r="G33">
        <v>3344.14</v>
      </c>
      <c r="H33">
        <v>20</v>
      </c>
      <c r="I33" t="str">
        <f>IF(Sales[[#This Row],[Discount]]&lt;=10,"0-10%",IF(Sales[[#This Row],[Discount]]&lt;=20,"10-20%","20-30%"))</f>
        <v>10-20%</v>
      </c>
      <c r="J33">
        <v>1338.18</v>
      </c>
      <c r="K33" t="s">
        <v>262</v>
      </c>
      <c r="L33" t="s">
        <v>264</v>
      </c>
      <c r="M33">
        <f t="shared" si="0"/>
        <v>1338.18</v>
      </c>
      <c r="N33">
        <f t="shared" si="1"/>
        <v>2675.3119999999999</v>
      </c>
      <c r="O33">
        <f t="shared" si="2"/>
        <v>1337.1319999999998</v>
      </c>
      <c r="P33" s="2">
        <f t="shared" si="3"/>
        <v>0.49980413499434828</v>
      </c>
      <c r="Q33" t="str">
        <f t="shared" si="4"/>
        <v>Weekend</v>
      </c>
      <c r="R33" t="str">
        <f t="shared" si="5"/>
        <v>Sep</v>
      </c>
      <c r="S33">
        <f t="shared" si="6"/>
        <v>2023</v>
      </c>
    </row>
    <row r="34" spans="1:19" x14ac:dyDescent="0.25">
      <c r="A34">
        <v>100032</v>
      </c>
      <c r="B34" s="1">
        <v>45603</v>
      </c>
      <c r="C34" t="s">
        <v>33</v>
      </c>
      <c r="D34" t="s">
        <v>68</v>
      </c>
      <c r="E34" t="s">
        <v>258</v>
      </c>
      <c r="F34">
        <v>2</v>
      </c>
      <c r="G34">
        <v>2700.51</v>
      </c>
      <c r="H34">
        <v>5</v>
      </c>
      <c r="I34" t="str">
        <f>IF(Sales[[#This Row],[Discount]]&lt;=10,"0-10%",IF(Sales[[#This Row],[Discount]]&lt;=20,"10-20%","20-30%"))</f>
        <v>0-10%</v>
      </c>
      <c r="J34">
        <v>1418.37</v>
      </c>
      <c r="K34" t="s">
        <v>268</v>
      </c>
      <c r="L34" t="s">
        <v>264</v>
      </c>
      <c r="M34">
        <f t="shared" si="0"/>
        <v>2836.74</v>
      </c>
      <c r="N34">
        <f t="shared" si="1"/>
        <v>5130.9690000000001</v>
      </c>
      <c r="O34">
        <f t="shared" si="2"/>
        <v>2294.2290000000003</v>
      </c>
      <c r="P34" s="2">
        <f t="shared" si="3"/>
        <v>0.44713367007284593</v>
      </c>
      <c r="Q34" t="str">
        <f t="shared" si="4"/>
        <v>Weekday</v>
      </c>
      <c r="R34" t="str">
        <f t="shared" si="5"/>
        <v>Nov</v>
      </c>
      <c r="S34">
        <f t="shared" si="6"/>
        <v>2024</v>
      </c>
    </row>
    <row r="35" spans="1:19" x14ac:dyDescent="0.25">
      <c r="A35">
        <v>100033</v>
      </c>
      <c r="B35" s="1">
        <v>45300</v>
      </c>
      <c r="C35" t="s">
        <v>37</v>
      </c>
      <c r="D35" t="s">
        <v>88</v>
      </c>
      <c r="E35" t="s">
        <v>258</v>
      </c>
      <c r="F35">
        <v>2</v>
      </c>
      <c r="G35">
        <v>1886.79</v>
      </c>
      <c r="H35">
        <v>15</v>
      </c>
      <c r="I35" t="str">
        <f>IF(Sales[[#This Row],[Discount]]&lt;=10,"0-10%",IF(Sales[[#This Row],[Discount]]&lt;=20,"10-20%","20-30%"))</f>
        <v>10-20%</v>
      </c>
      <c r="J35">
        <v>1288.44</v>
      </c>
      <c r="K35" t="s">
        <v>262</v>
      </c>
      <c r="L35" t="s">
        <v>264</v>
      </c>
      <c r="M35">
        <f t="shared" si="0"/>
        <v>2576.88</v>
      </c>
      <c r="N35">
        <f t="shared" si="1"/>
        <v>3207.5429999999997</v>
      </c>
      <c r="O35">
        <f t="shared" si="2"/>
        <v>630.66299999999956</v>
      </c>
      <c r="P35" s="2">
        <f t="shared" si="3"/>
        <v>0.19661872031021863</v>
      </c>
      <c r="Q35" t="str">
        <f t="shared" si="4"/>
        <v>Weekday</v>
      </c>
      <c r="R35" t="str">
        <f t="shared" si="5"/>
        <v>Jan</v>
      </c>
      <c r="S35">
        <f t="shared" si="6"/>
        <v>2024</v>
      </c>
    </row>
    <row r="36" spans="1:19" x14ac:dyDescent="0.25">
      <c r="A36">
        <v>100034</v>
      </c>
      <c r="B36" s="1">
        <v>45423</v>
      </c>
      <c r="C36" t="s">
        <v>20</v>
      </c>
      <c r="D36" t="s">
        <v>89</v>
      </c>
      <c r="E36" t="s">
        <v>258</v>
      </c>
      <c r="F36">
        <v>4</v>
      </c>
      <c r="G36">
        <v>2923.08</v>
      </c>
      <c r="H36">
        <v>0</v>
      </c>
      <c r="I36" t="str">
        <f>IF(Sales[[#This Row],[Discount]]&lt;=10,"0-10%",IF(Sales[[#This Row],[Discount]]&lt;=20,"10-20%","20-30%"))</f>
        <v>0-10%</v>
      </c>
      <c r="J36">
        <v>1523.37</v>
      </c>
      <c r="K36" t="s">
        <v>261</v>
      </c>
      <c r="L36" t="s">
        <v>265</v>
      </c>
      <c r="M36">
        <f t="shared" si="0"/>
        <v>6093.48</v>
      </c>
      <c r="N36">
        <f t="shared" si="1"/>
        <v>11692.32</v>
      </c>
      <c r="O36">
        <f t="shared" si="2"/>
        <v>5598.84</v>
      </c>
      <c r="P36" s="2">
        <f t="shared" si="3"/>
        <v>0.47884765384457495</v>
      </c>
      <c r="Q36" t="str">
        <f t="shared" si="4"/>
        <v>Weekend</v>
      </c>
      <c r="R36" t="str">
        <f t="shared" si="5"/>
        <v>May</v>
      </c>
      <c r="S36">
        <f t="shared" si="6"/>
        <v>2024</v>
      </c>
    </row>
    <row r="37" spans="1:19" x14ac:dyDescent="0.25">
      <c r="A37">
        <v>100035</v>
      </c>
      <c r="B37" s="1">
        <v>45313</v>
      </c>
      <c r="C37" t="s">
        <v>32</v>
      </c>
      <c r="D37" t="s">
        <v>90</v>
      </c>
      <c r="E37" t="s">
        <v>257</v>
      </c>
      <c r="F37">
        <v>4</v>
      </c>
      <c r="G37">
        <v>1460.32</v>
      </c>
      <c r="H37">
        <v>5</v>
      </c>
      <c r="I37" t="str">
        <f>IF(Sales[[#This Row],[Discount]]&lt;=10,"0-10%",IF(Sales[[#This Row],[Discount]]&lt;=20,"10-20%","20-30%"))</f>
        <v>0-10%</v>
      </c>
      <c r="J37">
        <v>889.18</v>
      </c>
      <c r="K37" t="s">
        <v>261</v>
      </c>
      <c r="L37" t="s">
        <v>263</v>
      </c>
      <c r="M37">
        <f t="shared" si="0"/>
        <v>3556.72</v>
      </c>
      <c r="N37">
        <f t="shared" si="1"/>
        <v>5549.2159999999994</v>
      </c>
      <c r="O37">
        <f t="shared" si="2"/>
        <v>1992.4959999999996</v>
      </c>
      <c r="P37" s="2">
        <f t="shared" si="3"/>
        <v>0.35905900941682573</v>
      </c>
      <c r="Q37" t="str">
        <f t="shared" si="4"/>
        <v>Weekday</v>
      </c>
      <c r="R37" t="str">
        <f t="shared" si="5"/>
        <v>Jan</v>
      </c>
      <c r="S37">
        <f t="shared" si="6"/>
        <v>2024</v>
      </c>
    </row>
    <row r="38" spans="1:19" x14ac:dyDescent="0.25">
      <c r="A38">
        <v>100036</v>
      </c>
      <c r="B38" s="1">
        <v>45039</v>
      </c>
      <c r="C38" t="s">
        <v>38</v>
      </c>
      <c r="D38" t="s">
        <v>91</v>
      </c>
      <c r="E38" t="s">
        <v>260</v>
      </c>
      <c r="F38">
        <v>1</v>
      </c>
      <c r="G38">
        <v>1638.75</v>
      </c>
      <c r="H38">
        <v>0</v>
      </c>
      <c r="I38" t="str">
        <f>IF(Sales[[#This Row],[Discount]]&lt;=10,"0-10%",IF(Sales[[#This Row],[Discount]]&lt;=20,"10-20%","20-30%"))</f>
        <v>0-10%</v>
      </c>
      <c r="J38">
        <v>673.63</v>
      </c>
      <c r="K38" t="s">
        <v>262</v>
      </c>
      <c r="L38" t="s">
        <v>265</v>
      </c>
      <c r="M38">
        <f t="shared" si="0"/>
        <v>673.63</v>
      </c>
      <c r="N38">
        <f t="shared" si="1"/>
        <v>1638.75</v>
      </c>
      <c r="O38">
        <f t="shared" si="2"/>
        <v>965.12</v>
      </c>
      <c r="P38" s="2">
        <f t="shared" si="3"/>
        <v>0.58893668954996181</v>
      </c>
      <c r="Q38" t="str">
        <f t="shared" si="4"/>
        <v>Weekend</v>
      </c>
      <c r="R38" t="str">
        <f t="shared" si="5"/>
        <v>Apr</v>
      </c>
      <c r="S38">
        <f t="shared" si="6"/>
        <v>2023</v>
      </c>
    </row>
    <row r="39" spans="1:19" x14ac:dyDescent="0.25">
      <c r="A39">
        <v>100037</v>
      </c>
      <c r="B39" s="1">
        <v>45151</v>
      </c>
      <c r="C39" t="s">
        <v>39</v>
      </c>
      <c r="D39" t="s">
        <v>86</v>
      </c>
      <c r="E39" t="s">
        <v>257</v>
      </c>
      <c r="F39">
        <v>2</v>
      </c>
      <c r="G39">
        <v>2231.87</v>
      </c>
      <c r="H39">
        <v>0</v>
      </c>
      <c r="I39" t="str">
        <f>IF(Sales[[#This Row],[Discount]]&lt;=10,"0-10%",IF(Sales[[#This Row],[Discount]]&lt;=20,"10-20%","20-30%"))</f>
        <v>0-10%</v>
      </c>
      <c r="J39">
        <v>914.88</v>
      </c>
      <c r="K39" t="s">
        <v>268</v>
      </c>
      <c r="L39" t="s">
        <v>263</v>
      </c>
      <c r="M39">
        <f t="shared" si="0"/>
        <v>1829.76</v>
      </c>
      <c r="N39">
        <f t="shared" si="1"/>
        <v>4463.74</v>
      </c>
      <c r="O39">
        <f t="shared" si="2"/>
        <v>2633.9799999999996</v>
      </c>
      <c r="P39" s="2">
        <f t="shared" si="3"/>
        <v>0.59008365182559908</v>
      </c>
      <c r="Q39" t="str">
        <f t="shared" si="4"/>
        <v>Weekend</v>
      </c>
      <c r="R39" t="str">
        <f t="shared" si="5"/>
        <v>Aug</v>
      </c>
      <c r="S39">
        <f t="shared" si="6"/>
        <v>2023</v>
      </c>
    </row>
    <row r="40" spans="1:19" x14ac:dyDescent="0.25">
      <c r="A40">
        <v>100038</v>
      </c>
      <c r="B40" s="1">
        <v>45656</v>
      </c>
      <c r="C40" t="s">
        <v>23</v>
      </c>
      <c r="D40" t="s">
        <v>88</v>
      </c>
      <c r="E40" t="s">
        <v>255</v>
      </c>
      <c r="F40">
        <v>3</v>
      </c>
      <c r="G40">
        <v>3499.32</v>
      </c>
      <c r="H40">
        <v>10</v>
      </c>
      <c r="I40" t="str">
        <f>IF(Sales[[#This Row],[Discount]]&lt;=10,"0-10%",IF(Sales[[#This Row],[Discount]]&lt;=20,"10-20%","20-30%"))</f>
        <v>0-10%</v>
      </c>
      <c r="J40">
        <v>1957.1</v>
      </c>
      <c r="K40" t="s">
        <v>268</v>
      </c>
      <c r="L40" t="s">
        <v>263</v>
      </c>
      <c r="M40">
        <f t="shared" si="0"/>
        <v>5871.2999999999993</v>
      </c>
      <c r="N40">
        <f t="shared" si="1"/>
        <v>9448.1640000000007</v>
      </c>
      <c r="O40">
        <f t="shared" si="2"/>
        <v>3576.8640000000014</v>
      </c>
      <c r="P40" s="2">
        <f t="shared" si="3"/>
        <v>0.37857767921894681</v>
      </c>
      <c r="Q40" t="str">
        <f t="shared" si="4"/>
        <v>Weekday</v>
      </c>
      <c r="R40" t="str">
        <f t="shared" si="5"/>
        <v>Dec</v>
      </c>
      <c r="S40">
        <f t="shared" si="6"/>
        <v>2024</v>
      </c>
    </row>
    <row r="41" spans="1:19" x14ac:dyDescent="0.25">
      <c r="A41">
        <v>100039</v>
      </c>
      <c r="B41" s="1">
        <v>45129</v>
      </c>
      <c r="C41" t="s">
        <v>40</v>
      </c>
      <c r="D41" t="s">
        <v>92</v>
      </c>
      <c r="E41" t="s">
        <v>257</v>
      </c>
      <c r="F41">
        <v>2</v>
      </c>
      <c r="G41">
        <v>1437.66</v>
      </c>
      <c r="H41">
        <v>20</v>
      </c>
      <c r="I41" t="str">
        <f>IF(Sales[[#This Row],[Discount]]&lt;=10,"0-10%",IF(Sales[[#This Row],[Discount]]&lt;=20,"10-20%","20-30%"))</f>
        <v>10-20%</v>
      </c>
      <c r="J41">
        <v>864.95</v>
      </c>
      <c r="K41" t="s">
        <v>268</v>
      </c>
      <c r="L41" t="s">
        <v>267</v>
      </c>
      <c r="M41">
        <f t="shared" si="0"/>
        <v>1729.9</v>
      </c>
      <c r="N41">
        <f t="shared" si="1"/>
        <v>2300.2560000000003</v>
      </c>
      <c r="O41">
        <f t="shared" si="2"/>
        <v>570.35600000000022</v>
      </c>
      <c r="P41" s="2">
        <f t="shared" si="3"/>
        <v>0.24795327128806538</v>
      </c>
      <c r="Q41" t="str">
        <f t="shared" si="4"/>
        <v>Weekend</v>
      </c>
      <c r="R41" t="str">
        <f t="shared" si="5"/>
        <v>Jul</v>
      </c>
      <c r="S41">
        <f t="shared" si="6"/>
        <v>2023</v>
      </c>
    </row>
    <row r="42" spans="1:19" x14ac:dyDescent="0.25">
      <c r="A42">
        <v>100040</v>
      </c>
      <c r="B42" s="1">
        <v>45536</v>
      </c>
      <c r="C42" t="s">
        <v>27</v>
      </c>
      <c r="D42" t="s">
        <v>93</v>
      </c>
      <c r="E42" t="s">
        <v>257</v>
      </c>
      <c r="F42">
        <v>3</v>
      </c>
      <c r="G42">
        <v>1438.15</v>
      </c>
      <c r="H42">
        <v>15</v>
      </c>
      <c r="I42" t="str">
        <f>IF(Sales[[#This Row],[Discount]]&lt;=10,"0-10%",IF(Sales[[#This Row],[Discount]]&lt;=20,"10-20%","20-30%"))</f>
        <v>10-20%</v>
      </c>
      <c r="J42">
        <v>921.77</v>
      </c>
      <c r="K42" t="s">
        <v>268</v>
      </c>
      <c r="L42" t="s">
        <v>263</v>
      </c>
      <c r="M42">
        <f t="shared" si="0"/>
        <v>2765.31</v>
      </c>
      <c r="N42">
        <f t="shared" si="1"/>
        <v>3667.2825000000007</v>
      </c>
      <c r="O42">
        <f t="shared" si="2"/>
        <v>901.97250000000076</v>
      </c>
      <c r="P42" s="2">
        <f t="shared" si="3"/>
        <v>0.24595119137944801</v>
      </c>
      <c r="Q42" t="str">
        <f t="shared" si="4"/>
        <v>Weekend</v>
      </c>
      <c r="R42" t="str">
        <f t="shared" si="5"/>
        <v>Sep</v>
      </c>
      <c r="S42">
        <f t="shared" si="6"/>
        <v>2024</v>
      </c>
    </row>
    <row r="43" spans="1:19" x14ac:dyDescent="0.25">
      <c r="A43">
        <v>100041</v>
      </c>
      <c r="B43" s="1">
        <v>45535</v>
      </c>
      <c r="C43" t="s">
        <v>30</v>
      </c>
      <c r="D43" t="s">
        <v>80</v>
      </c>
      <c r="E43" t="s">
        <v>254</v>
      </c>
      <c r="F43">
        <v>2</v>
      </c>
      <c r="G43">
        <v>2818.14</v>
      </c>
      <c r="H43">
        <v>20</v>
      </c>
      <c r="I43" t="str">
        <f>IF(Sales[[#This Row],[Discount]]&lt;=10,"0-10%",IF(Sales[[#This Row],[Discount]]&lt;=20,"10-20%","20-30%"))</f>
        <v>10-20%</v>
      </c>
      <c r="J43">
        <v>1203.5899999999999</v>
      </c>
      <c r="K43" t="s">
        <v>268</v>
      </c>
      <c r="L43" t="s">
        <v>266</v>
      </c>
      <c r="M43">
        <f t="shared" si="0"/>
        <v>2407.1799999999998</v>
      </c>
      <c r="N43">
        <f t="shared" si="1"/>
        <v>4509.0240000000003</v>
      </c>
      <c r="O43">
        <f t="shared" si="2"/>
        <v>2101.8440000000005</v>
      </c>
      <c r="P43" s="2">
        <f t="shared" si="3"/>
        <v>0.46614167500550013</v>
      </c>
      <c r="Q43" t="str">
        <f t="shared" si="4"/>
        <v>Weekend</v>
      </c>
      <c r="R43" t="str">
        <f t="shared" si="5"/>
        <v>Aug</v>
      </c>
      <c r="S43">
        <f t="shared" si="6"/>
        <v>2024</v>
      </c>
    </row>
    <row r="44" spans="1:19" x14ac:dyDescent="0.25">
      <c r="A44">
        <v>100042</v>
      </c>
      <c r="B44" s="1">
        <v>45586</v>
      </c>
      <c r="C44" t="s">
        <v>40</v>
      </c>
      <c r="D44" t="s">
        <v>94</v>
      </c>
      <c r="E44" t="s">
        <v>255</v>
      </c>
      <c r="F44">
        <v>3</v>
      </c>
      <c r="G44">
        <v>1176.6400000000001</v>
      </c>
      <c r="H44">
        <v>0</v>
      </c>
      <c r="I44" t="str">
        <f>IF(Sales[[#This Row],[Discount]]&lt;=10,"0-10%",IF(Sales[[#This Row],[Discount]]&lt;=20,"10-20%","20-30%"))</f>
        <v>0-10%</v>
      </c>
      <c r="J44">
        <v>485.05</v>
      </c>
      <c r="K44" t="s">
        <v>262</v>
      </c>
      <c r="L44" t="s">
        <v>263</v>
      </c>
      <c r="M44">
        <f t="shared" si="0"/>
        <v>1455.15</v>
      </c>
      <c r="N44">
        <f t="shared" si="1"/>
        <v>3529.92</v>
      </c>
      <c r="O44">
        <f t="shared" si="2"/>
        <v>2074.77</v>
      </c>
      <c r="P44" s="2">
        <f t="shared" si="3"/>
        <v>0.58776686157193359</v>
      </c>
      <c r="Q44" t="str">
        <f t="shared" si="4"/>
        <v>Weekday</v>
      </c>
      <c r="R44" t="str">
        <f t="shared" si="5"/>
        <v>Oct</v>
      </c>
      <c r="S44">
        <f t="shared" si="6"/>
        <v>2024</v>
      </c>
    </row>
    <row r="45" spans="1:19" x14ac:dyDescent="0.25">
      <c r="A45">
        <v>100043</v>
      </c>
      <c r="B45" s="1">
        <v>45073</v>
      </c>
      <c r="C45" t="s">
        <v>39</v>
      </c>
      <c r="D45" t="s">
        <v>95</v>
      </c>
      <c r="E45" t="s">
        <v>258</v>
      </c>
      <c r="F45">
        <v>4</v>
      </c>
      <c r="G45">
        <v>377.96</v>
      </c>
      <c r="H45">
        <v>15</v>
      </c>
      <c r="I45" t="str">
        <f>IF(Sales[[#This Row],[Discount]]&lt;=10,"0-10%",IF(Sales[[#This Row],[Discount]]&lt;=20,"10-20%","20-30%"))</f>
        <v>10-20%</v>
      </c>
      <c r="J45">
        <v>209.25</v>
      </c>
      <c r="K45" t="s">
        <v>262</v>
      </c>
      <c r="L45" t="s">
        <v>264</v>
      </c>
      <c r="M45">
        <f t="shared" si="0"/>
        <v>837</v>
      </c>
      <c r="N45">
        <f t="shared" si="1"/>
        <v>1285.0639999999999</v>
      </c>
      <c r="O45">
        <f t="shared" si="2"/>
        <v>448.06399999999985</v>
      </c>
      <c r="P45" s="2">
        <f t="shared" si="3"/>
        <v>0.34867057204932977</v>
      </c>
      <c r="Q45" t="str">
        <f t="shared" si="4"/>
        <v>Weekend</v>
      </c>
      <c r="R45" t="str">
        <f t="shared" si="5"/>
        <v>May</v>
      </c>
      <c r="S45">
        <f t="shared" si="6"/>
        <v>2023</v>
      </c>
    </row>
    <row r="46" spans="1:19" x14ac:dyDescent="0.25">
      <c r="A46">
        <v>100044</v>
      </c>
      <c r="B46" s="1">
        <v>45566</v>
      </c>
      <c r="C46" t="s">
        <v>13</v>
      </c>
      <c r="D46" t="s">
        <v>96</v>
      </c>
      <c r="E46" t="s">
        <v>256</v>
      </c>
      <c r="F46">
        <v>4</v>
      </c>
      <c r="G46">
        <v>752.03</v>
      </c>
      <c r="H46">
        <v>15</v>
      </c>
      <c r="I46" t="str">
        <f>IF(Sales[[#This Row],[Discount]]&lt;=10,"0-10%",IF(Sales[[#This Row],[Discount]]&lt;=20,"10-20%","20-30%"))</f>
        <v>10-20%</v>
      </c>
      <c r="J46">
        <v>513</v>
      </c>
      <c r="K46" t="s">
        <v>262</v>
      </c>
      <c r="L46" t="s">
        <v>265</v>
      </c>
      <c r="M46">
        <f t="shared" si="0"/>
        <v>2052</v>
      </c>
      <c r="N46">
        <f t="shared" si="1"/>
        <v>2556.902</v>
      </c>
      <c r="O46">
        <f t="shared" si="2"/>
        <v>504.90200000000004</v>
      </c>
      <c r="P46" s="2">
        <f t="shared" si="3"/>
        <v>0.1974663088378045</v>
      </c>
      <c r="Q46" t="str">
        <f t="shared" si="4"/>
        <v>Weekday</v>
      </c>
      <c r="R46" t="str">
        <f t="shared" si="5"/>
        <v>Oct</v>
      </c>
      <c r="S46">
        <f t="shared" si="6"/>
        <v>2024</v>
      </c>
    </row>
    <row r="47" spans="1:19" x14ac:dyDescent="0.25">
      <c r="A47">
        <v>100045</v>
      </c>
      <c r="B47" s="1">
        <v>45399</v>
      </c>
      <c r="C47" t="s">
        <v>16</v>
      </c>
      <c r="D47" t="s">
        <v>97</v>
      </c>
      <c r="E47" t="s">
        <v>259</v>
      </c>
      <c r="F47">
        <v>2</v>
      </c>
      <c r="G47">
        <v>4237.24</v>
      </c>
      <c r="H47">
        <v>0</v>
      </c>
      <c r="I47" t="str">
        <f>IF(Sales[[#This Row],[Discount]]&lt;=10,"0-10%",IF(Sales[[#This Row],[Discount]]&lt;=20,"10-20%","20-30%"))</f>
        <v>0-10%</v>
      </c>
      <c r="J47">
        <v>2553.81</v>
      </c>
      <c r="K47" t="s">
        <v>262</v>
      </c>
      <c r="L47" t="s">
        <v>266</v>
      </c>
      <c r="M47">
        <f t="shared" si="0"/>
        <v>5107.62</v>
      </c>
      <c r="N47">
        <f t="shared" si="1"/>
        <v>8474.48</v>
      </c>
      <c r="O47">
        <f t="shared" si="2"/>
        <v>3366.8599999999997</v>
      </c>
      <c r="P47" s="2">
        <f t="shared" si="3"/>
        <v>0.39729399325976339</v>
      </c>
      <c r="Q47" t="str">
        <f t="shared" si="4"/>
        <v>Weekday</v>
      </c>
      <c r="R47" t="str">
        <f t="shared" si="5"/>
        <v>Apr</v>
      </c>
      <c r="S47">
        <f t="shared" si="6"/>
        <v>2024</v>
      </c>
    </row>
    <row r="48" spans="1:19" x14ac:dyDescent="0.25">
      <c r="A48">
        <v>100046</v>
      </c>
      <c r="B48" s="1">
        <v>45189</v>
      </c>
      <c r="C48" t="s">
        <v>36</v>
      </c>
      <c r="D48" t="s">
        <v>98</v>
      </c>
      <c r="E48" t="s">
        <v>256</v>
      </c>
      <c r="F48">
        <v>3</v>
      </c>
      <c r="G48">
        <v>2844.81</v>
      </c>
      <c r="H48">
        <v>5</v>
      </c>
      <c r="I48" t="str">
        <f>IF(Sales[[#This Row],[Discount]]&lt;=10,"0-10%",IF(Sales[[#This Row],[Discount]]&lt;=20,"10-20%","20-30%"))</f>
        <v>0-10%</v>
      </c>
      <c r="J48">
        <v>1731.74</v>
      </c>
      <c r="K48" t="s">
        <v>261</v>
      </c>
      <c r="L48" t="s">
        <v>267</v>
      </c>
      <c r="M48">
        <f t="shared" si="0"/>
        <v>5195.22</v>
      </c>
      <c r="N48">
        <f t="shared" si="1"/>
        <v>8107.7084999999997</v>
      </c>
      <c r="O48">
        <f t="shared" si="2"/>
        <v>2912.4884999999995</v>
      </c>
      <c r="P48" s="2">
        <f t="shared" si="3"/>
        <v>0.35922461938536637</v>
      </c>
      <c r="Q48" t="str">
        <f t="shared" si="4"/>
        <v>Weekday</v>
      </c>
      <c r="R48" t="str">
        <f t="shared" si="5"/>
        <v>Sep</v>
      </c>
      <c r="S48">
        <f t="shared" si="6"/>
        <v>2023</v>
      </c>
    </row>
    <row r="49" spans="1:19" x14ac:dyDescent="0.25">
      <c r="A49">
        <v>100047</v>
      </c>
      <c r="B49" s="1">
        <v>44928</v>
      </c>
      <c r="C49" t="s">
        <v>27</v>
      </c>
      <c r="D49" t="s">
        <v>86</v>
      </c>
      <c r="E49" t="s">
        <v>256</v>
      </c>
      <c r="F49">
        <v>2</v>
      </c>
      <c r="G49">
        <v>4916.1899999999996</v>
      </c>
      <c r="H49">
        <v>15</v>
      </c>
      <c r="I49" t="str">
        <f>IF(Sales[[#This Row],[Discount]]&lt;=10,"0-10%",IF(Sales[[#This Row],[Discount]]&lt;=20,"10-20%","20-30%"))</f>
        <v>10-20%</v>
      </c>
      <c r="J49">
        <v>2728.44</v>
      </c>
      <c r="K49" t="s">
        <v>268</v>
      </c>
      <c r="L49" t="s">
        <v>264</v>
      </c>
      <c r="M49">
        <f t="shared" si="0"/>
        <v>5456.88</v>
      </c>
      <c r="N49">
        <f t="shared" si="1"/>
        <v>8357.5229999999992</v>
      </c>
      <c r="O49">
        <f t="shared" si="2"/>
        <v>2900.6429999999991</v>
      </c>
      <c r="P49" s="2">
        <f t="shared" si="3"/>
        <v>0.34706969995775055</v>
      </c>
      <c r="Q49" t="str">
        <f t="shared" si="4"/>
        <v>Weekday</v>
      </c>
      <c r="R49" t="str">
        <f t="shared" si="5"/>
        <v>Jan</v>
      </c>
      <c r="S49">
        <f t="shared" si="6"/>
        <v>2023</v>
      </c>
    </row>
    <row r="50" spans="1:19" x14ac:dyDescent="0.25">
      <c r="A50">
        <v>100048</v>
      </c>
      <c r="B50" s="1">
        <v>45086</v>
      </c>
      <c r="C50" t="s">
        <v>38</v>
      </c>
      <c r="D50" t="s">
        <v>99</v>
      </c>
      <c r="E50" t="s">
        <v>257</v>
      </c>
      <c r="F50">
        <v>4</v>
      </c>
      <c r="G50">
        <v>4837.47</v>
      </c>
      <c r="H50">
        <v>0</v>
      </c>
      <c r="I50" t="str">
        <f>IF(Sales[[#This Row],[Discount]]&lt;=10,"0-10%",IF(Sales[[#This Row],[Discount]]&lt;=20,"10-20%","20-30%"))</f>
        <v>0-10%</v>
      </c>
      <c r="J50">
        <v>2745.21</v>
      </c>
      <c r="K50" t="s">
        <v>261</v>
      </c>
      <c r="L50" t="s">
        <v>267</v>
      </c>
      <c r="M50">
        <f t="shared" si="0"/>
        <v>10980.84</v>
      </c>
      <c r="N50">
        <f t="shared" si="1"/>
        <v>19349.88</v>
      </c>
      <c r="O50">
        <f t="shared" si="2"/>
        <v>8369.0400000000009</v>
      </c>
      <c r="P50" s="2">
        <f t="shared" si="3"/>
        <v>0.43251120937184107</v>
      </c>
      <c r="Q50" t="str">
        <f t="shared" si="4"/>
        <v>Weekday</v>
      </c>
      <c r="R50" t="str">
        <f t="shared" si="5"/>
        <v>Jun</v>
      </c>
      <c r="S50">
        <f t="shared" si="6"/>
        <v>2023</v>
      </c>
    </row>
    <row r="51" spans="1:19" x14ac:dyDescent="0.25">
      <c r="A51">
        <v>100049</v>
      </c>
      <c r="B51" s="1">
        <v>45057</v>
      </c>
      <c r="C51" t="s">
        <v>24</v>
      </c>
      <c r="D51" t="s">
        <v>95</v>
      </c>
      <c r="E51" t="s">
        <v>259</v>
      </c>
      <c r="F51">
        <v>1</v>
      </c>
      <c r="G51">
        <v>1941.29</v>
      </c>
      <c r="H51">
        <v>15</v>
      </c>
      <c r="I51" t="str">
        <f>IF(Sales[[#This Row],[Discount]]&lt;=10,"0-10%",IF(Sales[[#This Row],[Discount]]&lt;=20,"10-20%","20-30%"))</f>
        <v>10-20%</v>
      </c>
      <c r="J51">
        <v>1199.3</v>
      </c>
      <c r="K51" t="s">
        <v>268</v>
      </c>
      <c r="L51" t="s">
        <v>267</v>
      </c>
      <c r="M51">
        <f t="shared" si="0"/>
        <v>1199.3</v>
      </c>
      <c r="N51">
        <f t="shared" si="1"/>
        <v>1650.0964999999999</v>
      </c>
      <c r="O51">
        <f t="shared" si="2"/>
        <v>450.79649999999992</v>
      </c>
      <c r="P51" s="2">
        <f t="shared" si="3"/>
        <v>0.27319402228899942</v>
      </c>
      <c r="Q51" t="str">
        <f t="shared" si="4"/>
        <v>Weekday</v>
      </c>
      <c r="R51" t="str">
        <f t="shared" si="5"/>
        <v>May</v>
      </c>
      <c r="S51">
        <f t="shared" si="6"/>
        <v>2023</v>
      </c>
    </row>
    <row r="52" spans="1:19" x14ac:dyDescent="0.25">
      <c r="A52">
        <v>100050</v>
      </c>
      <c r="B52" s="1">
        <v>45554</v>
      </c>
      <c r="C52" t="s">
        <v>35</v>
      </c>
      <c r="D52" t="s">
        <v>100</v>
      </c>
      <c r="E52" t="s">
        <v>255</v>
      </c>
      <c r="F52">
        <v>4</v>
      </c>
      <c r="G52">
        <v>2201.19</v>
      </c>
      <c r="H52">
        <v>25</v>
      </c>
      <c r="I52" t="str">
        <f>IF(Sales[[#This Row],[Discount]]&lt;=10,"0-10%",IF(Sales[[#This Row],[Discount]]&lt;=20,"10-20%","20-30%"))</f>
        <v>20-30%</v>
      </c>
      <c r="J52">
        <v>1466.72</v>
      </c>
      <c r="K52" t="s">
        <v>261</v>
      </c>
      <c r="L52" t="s">
        <v>265</v>
      </c>
      <c r="M52">
        <f t="shared" si="0"/>
        <v>5866.88</v>
      </c>
      <c r="N52">
        <f t="shared" si="1"/>
        <v>6603.57</v>
      </c>
      <c r="O52">
        <f t="shared" si="2"/>
        <v>736.6899999999996</v>
      </c>
      <c r="P52" s="2">
        <f t="shared" si="3"/>
        <v>0.11155935350121217</v>
      </c>
      <c r="Q52" t="str">
        <f t="shared" si="4"/>
        <v>Weekday</v>
      </c>
      <c r="R52" t="str">
        <f t="shared" si="5"/>
        <v>Sep</v>
      </c>
      <c r="S52">
        <f t="shared" si="6"/>
        <v>2024</v>
      </c>
    </row>
    <row r="53" spans="1:19" x14ac:dyDescent="0.25">
      <c r="A53">
        <v>100051</v>
      </c>
      <c r="B53" s="1">
        <v>45180</v>
      </c>
      <c r="C53" t="s">
        <v>41</v>
      </c>
      <c r="D53" t="s">
        <v>101</v>
      </c>
      <c r="E53" t="s">
        <v>255</v>
      </c>
      <c r="F53">
        <v>1</v>
      </c>
      <c r="G53">
        <v>1059.6500000000001</v>
      </c>
      <c r="H53">
        <v>5</v>
      </c>
      <c r="I53" t="str">
        <f>IF(Sales[[#This Row],[Discount]]&lt;=10,"0-10%",IF(Sales[[#This Row],[Discount]]&lt;=20,"10-20%","20-30%"))</f>
        <v>0-10%</v>
      </c>
      <c r="J53">
        <v>709.51</v>
      </c>
      <c r="K53" t="s">
        <v>268</v>
      </c>
      <c r="L53" t="s">
        <v>266</v>
      </c>
      <c r="M53">
        <f t="shared" si="0"/>
        <v>709.51</v>
      </c>
      <c r="N53">
        <f t="shared" si="1"/>
        <v>1006.6675</v>
      </c>
      <c r="O53">
        <f t="shared" si="2"/>
        <v>297.15750000000003</v>
      </c>
      <c r="P53" s="2">
        <f t="shared" si="3"/>
        <v>0.29518932517439972</v>
      </c>
      <c r="Q53" t="str">
        <f t="shared" si="4"/>
        <v>Weekday</v>
      </c>
      <c r="R53" t="str">
        <f t="shared" si="5"/>
        <v>Sep</v>
      </c>
      <c r="S53">
        <f t="shared" si="6"/>
        <v>2023</v>
      </c>
    </row>
    <row r="54" spans="1:19" x14ac:dyDescent="0.25">
      <c r="A54">
        <v>100052</v>
      </c>
      <c r="B54" s="1">
        <v>45264</v>
      </c>
      <c r="C54" t="s">
        <v>38</v>
      </c>
      <c r="D54" t="s">
        <v>102</v>
      </c>
      <c r="E54" t="s">
        <v>256</v>
      </c>
      <c r="F54">
        <v>2</v>
      </c>
      <c r="G54">
        <v>4718.63</v>
      </c>
      <c r="H54">
        <v>5</v>
      </c>
      <c r="I54" t="str">
        <f>IF(Sales[[#This Row],[Discount]]&lt;=10,"0-10%",IF(Sales[[#This Row],[Discount]]&lt;=20,"10-20%","20-30%"))</f>
        <v>0-10%</v>
      </c>
      <c r="J54">
        <v>3265.76</v>
      </c>
      <c r="K54" t="s">
        <v>262</v>
      </c>
      <c r="L54" t="s">
        <v>264</v>
      </c>
      <c r="M54">
        <f t="shared" si="0"/>
        <v>6531.52</v>
      </c>
      <c r="N54">
        <f t="shared" si="1"/>
        <v>8965.396999999999</v>
      </c>
      <c r="O54">
        <f t="shared" si="2"/>
        <v>2433.8769999999986</v>
      </c>
      <c r="P54" s="2">
        <f t="shared" si="3"/>
        <v>0.27147453704504093</v>
      </c>
      <c r="Q54" t="str">
        <f t="shared" si="4"/>
        <v>Weekday</v>
      </c>
      <c r="R54" t="str">
        <f t="shared" si="5"/>
        <v>Dec</v>
      </c>
      <c r="S54">
        <f t="shared" si="6"/>
        <v>2023</v>
      </c>
    </row>
    <row r="55" spans="1:19" x14ac:dyDescent="0.25">
      <c r="A55">
        <v>100053</v>
      </c>
      <c r="B55" s="1">
        <v>45087</v>
      </c>
      <c r="C55" t="s">
        <v>12</v>
      </c>
      <c r="D55" t="s">
        <v>103</v>
      </c>
      <c r="E55" t="s">
        <v>255</v>
      </c>
      <c r="F55">
        <v>2</v>
      </c>
      <c r="G55">
        <v>2407.59</v>
      </c>
      <c r="H55">
        <v>0</v>
      </c>
      <c r="I55" t="str">
        <f>IF(Sales[[#This Row],[Discount]]&lt;=10,"0-10%",IF(Sales[[#This Row],[Discount]]&lt;=20,"10-20%","20-30%"))</f>
        <v>0-10%</v>
      </c>
      <c r="J55">
        <v>1681.31</v>
      </c>
      <c r="K55" t="s">
        <v>262</v>
      </c>
      <c r="L55" t="s">
        <v>266</v>
      </c>
      <c r="M55">
        <f t="shared" si="0"/>
        <v>3362.62</v>
      </c>
      <c r="N55">
        <f t="shared" si="1"/>
        <v>4815.18</v>
      </c>
      <c r="O55">
        <f t="shared" si="2"/>
        <v>1452.5600000000004</v>
      </c>
      <c r="P55" s="2">
        <f t="shared" si="3"/>
        <v>0.3016626585091316</v>
      </c>
      <c r="Q55" t="str">
        <f t="shared" si="4"/>
        <v>Weekend</v>
      </c>
      <c r="R55" t="str">
        <f t="shared" si="5"/>
        <v>Jun</v>
      </c>
      <c r="S55">
        <f t="shared" si="6"/>
        <v>2023</v>
      </c>
    </row>
    <row r="56" spans="1:19" x14ac:dyDescent="0.25">
      <c r="A56">
        <v>100054</v>
      </c>
      <c r="B56" s="1">
        <v>45430</v>
      </c>
      <c r="C56" t="s">
        <v>38</v>
      </c>
      <c r="D56" t="s">
        <v>85</v>
      </c>
      <c r="E56" t="s">
        <v>257</v>
      </c>
      <c r="F56">
        <v>1</v>
      </c>
      <c r="G56">
        <v>2621.3000000000002</v>
      </c>
      <c r="H56">
        <v>0</v>
      </c>
      <c r="I56" t="str">
        <f>IF(Sales[[#This Row],[Discount]]&lt;=10,"0-10%",IF(Sales[[#This Row],[Discount]]&lt;=20,"10-20%","20-30%"))</f>
        <v>0-10%</v>
      </c>
      <c r="J56">
        <v>1189.1400000000001</v>
      </c>
      <c r="K56" t="s">
        <v>262</v>
      </c>
      <c r="L56" t="s">
        <v>267</v>
      </c>
      <c r="M56">
        <f t="shared" si="0"/>
        <v>1189.1400000000001</v>
      </c>
      <c r="N56">
        <f t="shared" si="1"/>
        <v>2621.3000000000002</v>
      </c>
      <c r="O56">
        <f t="shared" si="2"/>
        <v>1432.16</v>
      </c>
      <c r="P56" s="2">
        <f t="shared" si="3"/>
        <v>0.54635486209132877</v>
      </c>
      <c r="Q56" t="str">
        <f t="shared" si="4"/>
        <v>Weekend</v>
      </c>
      <c r="R56" t="str">
        <f t="shared" si="5"/>
        <v>May</v>
      </c>
      <c r="S56">
        <f t="shared" si="6"/>
        <v>2024</v>
      </c>
    </row>
    <row r="57" spans="1:19" x14ac:dyDescent="0.25">
      <c r="A57">
        <v>100055</v>
      </c>
      <c r="B57" s="1">
        <v>44959</v>
      </c>
      <c r="C57" t="s">
        <v>41</v>
      </c>
      <c r="D57" t="s">
        <v>104</v>
      </c>
      <c r="E57" t="s">
        <v>254</v>
      </c>
      <c r="F57">
        <v>4</v>
      </c>
      <c r="G57">
        <v>4291.3500000000004</v>
      </c>
      <c r="H57">
        <v>5</v>
      </c>
      <c r="I57" t="str">
        <f>IF(Sales[[#This Row],[Discount]]&lt;=10,"0-10%",IF(Sales[[#This Row],[Discount]]&lt;=20,"10-20%","20-30%"))</f>
        <v>0-10%</v>
      </c>
      <c r="J57">
        <v>2563.15</v>
      </c>
      <c r="K57" t="s">
        <v>268</v>
      </c>
      <c r="L57" t="s">
        <v>265</v>
      </c>
      <c r="M57">
        <f t="shared" si="0"/>
        <v>10252.6</v>
      </c>
      <c r="N57">
        <f t="shared" si="1"/>
        <v>16307.130000000001</v>
      </c>
      <c r="O57">
        <f t="shared" si="2"/>
        <v>6054.5300000000007</v>
      </c>
      <c r="P57" s="2">
        <f t="shared" si="3"/>
        <v>0.37128115125101718</v>
      </c>
      <c r="Q57" t="str">
        <f t="shared" si="4"/>
        <v>Weekday</v>
      </c>
      <c r="R57" t="str">
        <f t="shared" si="5"/>
        <v>Feb</v>
      </c>
      <c r="S57">
        <f t="shared" si="6"/>
        <v>2023</v>
      </c>
    </row>
    <row r="58" spans="1:19" x14ac:dyDescent="0.25">
      <c r="A58">
        <v>100056</v>
      </c>
      <c r="B58" s="1">
        <v>44948</v>
      </c>
      <c r="C58" t="s">
        <v>17</v>
      </c>
      <c r="D58" t="s">
        <v>105</v>
      </c>
      <c r="E58" t="s">
        <v>257</v>
      </c>
      <c r="F58">
        <v>4</v>
      </c>
      <c r="G58">
        <v>2691.43</v>
      </c>
      <c r="H58">
        <v>5</v>
      </c>
      <c r="I58" t="str">
        <f>IF(Sales[[#This Row],[Discount]]&lt;=10,"0-10%",IF(Sales[[#This Row],[Discount]]&lt;=20,"10-20%","20-30%"))</f>
        <v>0-10%</v>
      </c>
      <c r="J58">
        <v>1590.37</v>
      </c>
      <c r="K58" t="s">
        <v>262</v>
      </c>
      <c r="L58" t="s">
        <v>263</v>
      </c>
      <c r="M58">
        <f t="shared" si="0"/>
        <v>6361.48</v>
      </c>
      <c r="N58">
        <f t="shared" si="1"/>
        <v>10227.433999999999</v>
      </c>
      <c r="O58">
        <f t="shared" si="2"/>
        <v>3865.9539999999997</v>
      </c>
      <c r="P58" s="2">
        <f t="shared" si="3"/>
        <v>0.37799843049586046</v>
      </c>
      <c r="Q58" t="str">
        <f t="shared" si="4"/>
        <v>Weekend</v>
      </c>
      <c r="R58" t="str">
        <f t="shared" si="5"/>
        <v>Jan</v>
      </c>
      <c r="S58">
        <f t="shared" si="6"/>
        <v>2023</v>
      </c>
    </row>
    <row r="59" spans="1:19" x14ac:dyDescent="0.25">
      <c r="A59">
        <v>100057</v>
      </c>
      <c r="B59" s="1">
        <v>45209</v>
      </c>
      <c r="C59" t="s">
        <v>42</v>
      </c>
      <c r="D59" t="s">
        <v>106</v>
      </c>
      <c r="E59" t="s">
        <v>255</v>
      </c>
      <c r="F59">
        <v>2</v>
      </c>
      <c r="G59">
        <v>4900.8</v>
      </c>
      <c r="H59">
        <v>30</v>
      </c>
      <c r="I59" t="str">
        <f>IF(Sales[[#This Row],[Discount]]&lt;=10,"0-10%",IF(Sales[[#This Row],[Discount]]&lt;=20,"10-20%","20-30%"))</f>
        <v>20-30%</v>
      </c>
      <c r="J59">
        <v>2675.95</v>
      </c>
      <c r="K59" t="s">
        <v>262</v>
      </c>
      <c r="L59" t="s">
        <v>267</v>
      </c>
      <c r="M59">
        <f t="shared" si="0"/>
        <v>5351.9</v>
      </c>
      <c r="N59">
        <f t="shared" si="1"/>
        <v>6861.12</v>
      </c>
      <c r="O59">
        <f t="shared" si="2"/>
        <v>1509.2200000000003</v>
      </c>
      <c r="P59" s="2">
        <f t="shared" si="3"/>
        <v>0.21996700247189968</v>
      </c>
      <c r="Q59" t="str">
        <f t="shared" si="4"/>
        <v>Weekday</v>
      </c>
      <c r="R59" t="str">
        <f t="shared" si="5"/>
        <v>Oct</v>
      </c>
      <c r="S59">
        <f t="shared" si="6"/>
        <v>2023</v>
      </c>
    </row>
    <row r="60" spans="1:19" x14ac:dyDescent="0.25">
      <c r="A60">
        <v>100058</v>
      </c>
      <c r="B60" s="1">
        <v>45407</v>
      </c>
      <c r="C60" t="s">
        <v>25</v>
      </c>
      <c r="D60" t="s">
        <v>107</v>
      </c>
      <c r="E60" t="s">
        <v>255</v>
      </c>
      <c r="F60">
        <v>2</v>
      </c>
      <c r="G60">
        <v>1945.37</v>
      </c>
      <c r="H60">
        <v>0</v>
      </c>
      <c r="I60" t="str">
        <f>IF(Sales[[#This Row],[Discount]]&lt;=10,"0-10%",IF(Sales[[#This Row],[Discount]]&lt;=20,"10-20%","20-30%"))</f>
        <v>0-10%</v>
      </c>
      <c r="J60">
        <v>1154.6400000000001</v>
      </c>
      <c r="K60" t="s">
        <v>262</v>
      </c>
      <c r="L60" t="s">
        <v>267</v>
      </c>
      <c r="M60">
        <f t="shared" si="0"/>
        <v>2309.2800000000002</v>
      </c>
      <c r="N60">
        <f t="shared" si="1"/>
        <v>3890.74</v>
      </c>
      <c r="O60">
        <f t="shared" si="2"/>
        <v>1581.4599999999996</v>
      </c>
      <c r="P60" s="2">
        <f t="shared" si="3"/>
        <v>0.40646766424896025</v>
      </c>
      <c r="Q60" t="str">
        <f t="shared" si="4"/>
        <v>Weekday</v>
      </c>
      <c r="R60" t="str">
        <f t="shared" si="5"/>
        <v>Apr</v>
      </c>
      <c r="S60">
        <f t="shared" si="6"/>
        <v>2024</v>
      </c>
    </row>
    <row r="61" spans="1:19" x14ac:dyDescent="0.25">
      <c r="A61">
        <v>100059</v>
      </c>
      <c r="B61" s="1">
        <v>45473</v>
      </c>
      <c r="C61" t="s">
        <v>43</v>
      </c>
      <c r="D61" t="s">
        <v>64</v>
      </c>
      <c r="E61" t="s">
        <v>258</v>
      </c>
      <c r="F61">
        <v>4</v>
      </c>
      <c r="G61">
        <v>3695.52</v>
      </c>
      <c r="H61">
        <v>20</v>
      </c>
      <c r="I61" t="str">
        <f>IF(Sales[[#This Row],[Discount]]&lt;=10,"0-10%",IF(Sales[[#This Row],[Discount]]&lt;=20,"10-20%","20-30%"))</f>
        <v>10-20%</v>
      </c>
      <c r="J61">
        <v>1789.49</v>
      </c>
      <c r="K61" t="s">
        <v>261</v>
      </c>
      <c r="L61" t="s">
        <v>264</v>
      </c>
      <c r="M61">
        <f t="shared" si="0"/>
        <v>7157.96</v>
      </c>
      <c r="N61">
        <f t="shared" si="1"/>
        <v>11825.664000000001</v>
      </c>
      <c r="O61">
        <f t="shared" si="2"/>
        <v>4667.7040000000006</v>
      </c>
      <c r="P61" s="2">
        <f t="shared" si="3"/>
        <v>0.39470967549898256</v>
      </c>
      <c r="Q61" t="str">
        <f t="shared" si="4"/>
        <v>Weekend</v>
      </c>
      <c r="R61" t="str">
        <f t="shared" si="5"/>
        <v>Jun</v>
      </c>
      <c r="S61">
        <f t="shared" si="6"/>
        <v>2024</v>
      </c>
    </row>
    <row r="62" spans="1:19" x14ac:dyDescent="0.25">
      <c r="A62">
        <v>100060</v>
      </c>
      <c r="B62" s="1">
        <v>45084</v>
      </c>
      <c r="C62" t="s">
        <v>37</v>
      </c>
      <c r="D62" t="s">
        <v>108</v>
      </c>
      <c r="E62" t="s">
        <v>256</v>
      </c>
      <c r="F62">
        <v>1</v>
      </c>
      <c r="G62">
        <v>504.94</v>
      </c>
      <c r="H62">
        <v>0</v>
      </c>
      <c r="I62" t="str">
        <f>IF(Sales[[#This Row],[Discount]]&lt;=10,"0-10%",IF(Sales[[#This Row],[Discount]]&lt;=20,"10-20%","20-30%"))</f>
        <v>0-10%</v>
      </c>
      <c r="J62">
        <v>352.63</v>
      </c>
      <c r="K62" t="s">
        <v>261</v>
      </c>
      <c r="L62" t="s">
        <v>263</v>
      </c>
      <c r="M62">
        <f t="shared" si="0"/>
        <v>352.63</v>
      </c>
      <c r="N62">
        <f t="shared" si="1"/>
        <v>504.94</v>
      </c>
      <c r="O62">
        <f t="shared" si="2"/>
        <v>152.31</v>
      </c>
      <c r="P62" s="2">
        <f t="shared" si="3"/>
        <v>0.30163979878797481</v>
      </c>
      <c r="Q62" t="str">
        <f t="shared" si="4"/>
        <v>Weekday</v>
      </c>
      <c r="R62" t="str">
        <f t="shared" si="5"/>
        <v>Jun</v>
      </c>
      <c r="S62">
        <f t="shared" si="6"/>
        <v>2023</v>
      </c>
    </row>
    <row r="63" spans="1:19" x14ac:dyDescent="0.25">
      <c r="A63">
        <v>100061</v>
      </c>
      <c r="B63" s="1">
        <v>44963</v>
      </c>
      <c r="C63" t="s">
        <v>13</v>
      </c>
      <c r="D63" t="s">
        <v>74</v>
      </c>
      <c r="E63" t="s">
        <v>254</v>
      </c>
      <c r="F63">
        <v>1</v>
      </c>
      <c r="G63">
        <v>4452.42</v>
      </c>
      <c r="H63">
        <v>0</v>
      </c>
      <c r="I63" t="str">
        <f>IF(Sales[[#This Row],[Discount]]&lt;=10,"0-10%",IF(Sales[[#This Row],[Discount]]&lt;=20,"10-20%","20-30%"))</f>
        <v>0-10%</v>
      </c>
      <c r="J63">
        <v>2779.72</v>
      </c>
      <c r="K63" t="s">
        <v>268</v>
      </c>
      <c r="L63" t="s">
        <v>265</v>
      </c>
      <c r="M63">
        <f t="shared" si="0"/>
        <v>2779.72</v>
      </c>
      <c r="N63">
        <f t="shared" si="1"/>
        <v>4452.42</v>
      </c>
      <c r="O63">
        <f t="shared" si="2"/>
        <v>1672.7000000000003</v>
      </c>
      <c r="P63" s="2">
        <f t="shared" si="3"/>
        <v>0.37568333625309386</v>
      </c>
      <c r="Q63" t="str">
        <f t="shared" si="4"/>
        <v>Weekday</v>
      </c>
      <c r="R63" t="str">
        <f t="shared" si="5"/>
        <v>Feb</v>
      </c>
      <c r="S63">
        <f t="shared" si="6"/>
        <v>2023</v>
      </c>
    </row>
    <row r="64" spans="1:19" x14ac:dyDescent="0.25">
      <c r="A64">
        <v>100062</v>
      </c>
      <c r="B64" s="1">
        <v>45025</v>
      </c>
      <c r="C64" t="s">
        <v>41</v>
      </c>
      <c r="D64" t="s">
        <v>66</v>
      </c>
      <c r="E64" t="s">
        <v>259</v>
      </c>
      <c r="F64">
        <v>1</v>
      </c>
      <c r="G64">
        <v>2312.4699999999998</v>
      </c>
      <c r="H64">
        <v>25</v>
      </c>
      <c r="I64" t="str">
        <f>IF(Sales[[#This Row],[Discount]]&lt;=10,"0-10%",IF(Sales[[#This Row],[Discount]]&lt;=20,"10-20%","20-30%"))</f>
        <v>20-30%</v>
      </c>
      <c r="J64">
        <v>1595.6</v>
      </c>
      <c r="K64" t="s">
        <v>268</v>
      </c>
      <c r="L64" t="s">
        <v>267</v>
      </c>
      <c r="M64">
        <f t="shared" si="0"/>
        <v>1595.6</v>
      </c>
      <c r="N64">
        <f t="shared" si="1"/>
        <v>1734.3525</v>
      </c>
      <c r="O64">
        <f t="shared" si="2"/>
        <v>138.75250000000005</v>
      </c>
      <c r="P64" s="2">
        <f t="shared" si="3"/>
        <v>8.0002479311443359E-2</v>
      </c>
      <c r="Q64" t="str">
        <f t="shared" si="4"/>
        <v>Weekend</v>
      </c>
      <c r="R64" t="str">
        <f t="shared" si="5"/>
        <v>Apr</v>
      </c>
      <c r="S64">
        <f t="shared" si="6"/>
        <v>2023</v>
      </c>
    </row>
    <row r="65" spans="1:19" x14ac:dyDescent="0.25">
      <c r="A65">
        <v>100063</v>
      </c>
      <c r="B65" s="1">
        <v>45087</v>
      </c>
      <c r="C65" t="s">
        <v>41</v>
      </c>
      <c r="D65" t="s">
        <v>109</v>
      </c>
      <c r="E65" t="s">
        <v>260</v>
      </c>
      <c r="F65">
        <v>1</v>
      </c>
      <c r="G65">
        <v>654.13</v>
      </c>
      <c r="H65">
        <v>10</v>
      </c>
      <c r="I65" t="str">
        <f>IF(Sales[[#This Row],[Discount]]&lt;=10,"0-10%",IF(Sales[[#This Row],[Discount]]&lt;=20,"10-20%","20-30%"))</f>
        <v>0-10%</v>
      </c>
      <c r="J65">
        <v>321.64</v>
      </c>
      <c r="K65" t="s">
        <v>262</v>
      </c>
      <c r="L65" t="s">
        <v>263</v>
      </c>
      <c r="M65">
        <f t="shared" si="0"/>
        <v>321.64</v>
      </c>
      <c r="N65">
        <f t="shared" si="1"/>
        <v>588.71699999999998</v>
      </c>
      <c r="O65">
        <f t="shared" si="2"/>
        <v>267.077</v>
      </c>
      <c r="P65" s="2">
        <f t="shared" si="3"/>
        <v>0.45365939831871682</v>
      </c>
      <c r="Q65" t="str">
        <f t="shared" si="4"/>
        <v>Weekend</v>
      </c>
      <c r="R65" t="str">
        <f t="shared" si="5"/>
        <v>Jun</v>
      </c>
      <c r="S65">
        <f t="shared" si="6"/>
        <v>2023</v>
      </c>
    </row>
    <row r="66" spans="1:19" x14ac:dyDescent="0.25">
      <c r="A66">
        <v>100064</v>
      </c>
      <c r="B66" s="1">
        <v>45492</v>
      </c>
      <c r="C66" t="s">
        <v>20</v>
      </c>
      <c r="D66" t="s">
        <v>110</v>
      </c>
      <c r="E66" t="s">
        <v>259</v>
      </c>
      <c r="F66">
        <v>4</v>
      </c>
      <c r="G66">
        <v>2051.63</v>
      </c>
      <c r="H66">
        <v>5</v>
      </c>
      <c r="I66" t="str">
        <f>IF(Sales[[#This Row],[Discount]]&lt;=10,"0-10%",IF(Sales[[#This Row],[Discount]]&lt;=20,"10-20%","20-30%"))</f>
        <v>0-10%</v>
      </c>
      <c r="J66">
        <v>1063.58</v>
      </c>
      <c r="K66" t="s">
        <v>268</v>
      </c>
      <c r="L66" t="s">
        <v>263</v>
      </c>
      <c r="M66">
        <f t="shared" si="0"/>
        <v>4254.32</v>
      </c>
      <c r="N66">
        <f t="shared" si="1"/>
        <v>7796.1940000000004</v>
      </c>
      <c r="O66">
        <f t="shared" si="2"/>
        <v>3541.8740000000007</v>
      </c>
      <c r="P66" s="2">
        <f t="shared" si="3"/>
        <v>0.45430808930614097</v>
      </c>
      <c r="Q66" t="str">
        <f t="shared" si="4"/>
        <v>Weekday</v>
      </c>
      <c r="R66" t="str">
        <f t="shared" si="5"/>
        <v>Jul</v>
      </c>
      <c r="S66">
        <f t="shared" si="6"/>
        <v>2024</v>
      </c>
    </row>
    <row r="67" spans="1:19" x14ac:dyDescent="0.25">
      <c r="A67">
        <v>100065</v>
      </c>
      <c r="B67" s="1">
        <v>45214</v>
      </c>
      <c r="C67" t="s">
        <v>44</v>
      </c>
      <c r="D67" t="s">
        <v>78</v>
      </c>
      <c r="E67" t="s">
        <v>260</v>
      </c>
      <c r="F67">
        <v>3</v>
      </c>
      <c r="G67">
        <v>2979.29</v>
      </c>
      <c r="H67">
        <v>30</v>
      </c>
      <c r="I67" t="str">
        <f>IF(Sales[[#This Row],[Discount]]&lt;=10,"0-10%",IF(Sales[[#This Row],[Discount]]&lt;=20,"10-20%","20-30%"))</f>
        <v>20-30%</v>
      </c>
      <c r="J67">
        <v>1278.57</v>
      </c>
      <c r="K67" t="s">
        <v>262</v>
      </c>
      <c r="L67" t="s">
        <v>264</v>
      </c>
      <c r="M67">
        <f t="shared" ref="M67:M130" si="7">F67*J67</f>
        <v>3835.71</v>
      </c>
      <c r="N67">
        <f t="shared" ref="N67:N130" si="8">F67*G67*(1-H67/100)</f>
        <v>6256.5089999999991</v>
      </c>
      <c r="O67">
        <f t="shared" ref="O67:O130" si="9">N67-M67</f>
        <v>2420.7989999999991</v>
      </c>
      <c r="P67" s="2">
        <f t="shared" ref="P67:P130" si="10">O67/N67</f>
        <v>0.3869248809519813</v>
      </c>
      <c r="Q67" t="str">
        <f t="shared" ref="Q67:Q130" si="11">IF(WEEKDAY(B67,2)&gt;5,"Weekend","Weekday")</f>
        <v>Weekend</v>
      </c>
      <c r="R67" t="str">
        <f t="shared" ref="R67:R130" si="12">TEXT(B67,"mmm")</f>
        <v>Oct</v>
      </c>
      <c r="S67">
        <f t="shared" ref="S67:S130" si="13">YEAR(B67)</f>
        <v>2023</v>
      </c>
    </row>
    <row r="68" spans="1:19" x14ac:dyDescent="0.25">
      <c r="A68">
        <v>100066</v>
      </c>
      <c r="B68" s="1">
        <v>45416</v>
      </c>
      <c r="C68" t="s">
        <v>45</v>
      </c>
      <c r="D68" t="s">
        <v>111</v>
      </c>
      <c r="E68" t="s">
        <v>259</v>
      </c>
      <c r="F68">
        <v>2</v>
      </c>
      <c r="G68">
        <v>1985.64</v>
      </c>
      <c r="H68">
        <v>0</v>
      </c>
      <c r="I68" t="str">
        <f>IF(Sales[[#This Row],[Discount]]&lt;=10,"0-10%",IF(Sales[[#This Row],[Discount]]&lt;=20,"10-20%","20-30%"))</f>
        <v>0-10%</v>
      </c>
      <c r="J68">
        <v>945.66</v>
      </c>
      <c r="K68" t="s">
        <v>261</v>
      </c>
      <c r="L68" t="s">
        <v>264</v>
      </c>
      <c r="M68">
        <f t="shared" si="7"/>
        <v>1891.32</v>
      </c>
      <c r="N68">
        <f t="shared" si="8"/>
        <v>3971.28</v>
      </c>
      <c r="O68">
        <f t="shared" si="9"/>
        <v>2079.96</v>
      </c>
      <c r="P68" s="2">
        <f t="shared" si="10"/>
        <v>0.52375052879676076</v>
      </c>
      <c r="Q68" t="str">
        <f t="shared" si="11"/>
        <v>Weekend</v>
      </c>
      <c r="R68" t="str">
        <f t="shared" si="12"/>
        <v>May</v>
      </c>
      <c r="S68">
        <f t="shared" si="13"/>
        <v>2024</v>
      </c>
    </row>
    <row r="69" spans="1:19" x14ac:dyDescent="0.25">
      <c r="A69">
        <v>100067</v>
      </c>
      <c r="B69" s="1">
        <v>45172</v>
      </c>
      <c r="C69" t="s">
        <v>46</v>
      </c>
      <c r="D69" t="s">
        <v>104</v>
      </c>
      <c r="E69" t="s">
        <v>256</v>
      </c>
      <c r="F69">
        <v>2</v>
      </c>
      <c r="G69">
        <v>3781.61</v>
      </c>
      <c r="H69">
        <v>25</v>
      </c>
      <c r="I69" t="str">
        <f>IF(Sales[[#This Row],[Discount]]&lt;=10,"0-10%",IF(Sales[[#This Row],[Discount]]&lt;=20,"10-20%","20-30%"))</f>
        <v>20-30%</v>
      </c>
      <c r="J69">
        <v>2303.4</v>
      </c>
      <c r="K69" t="s">
        <v>268</v>
      </c>
      <c r="L69" t="s">
        <v>266</v>
      </c>
      <c r="M69">
        <f t="shared" si="7"/>
        <v>4606.8</v>
      </c>
      <c r="N69">
        <f t="shared" si="8"/>
        <v>5672.415</v>
      </c>
      <c r="O69">
        <f t="shared" si="9"/>
        <v>1065.6149999999998</v>
      </c>
      <c r="P69" s="2">
        <f t="shared" si="10"/>
        <v>0.18785913936127729</v>
      </c>
      <c r="Q69" t="str">
        <f t="shared" si="11"/>
        <v>Weekend</v>
      </c>
      <c r="R69" t="str">
        <f t="shared" si="12"/>
        <v>Sep</v>
      </c>
      <c r="S69">
        <f t="shared" si="13"/>
        <v>2023</v>
      </c>
    </row>
    <row r="70" spans="1:19" x14ac:dyDescent="0.25">
      <c r="A70">
        <v>100068</v>
      </c>
      <c r="B70" s="1">
        <v>45334</v>
      </c>
      <c r="C70" t="s">
        <v>46</v>
      </c>
      <c r="D70" t="s">
        <v>112</v>
      </c>
      <c r="E70" t="s">
        <v>255</v>
      </c>
      <c r="F70">
        <v>3</v>
      </c>
      <c r="G70">
        <v>1679.88</v>
      </c>
      <c r="H70">
        <v>15</v>
      </c>
      <c r="I70" t="str">
        <f>IF(Sales[[#This Row],[Discount]]&lt;=10,"0-10%",IF(Sales[[#This Row],[Discount]]&lt;=20,"10-20%","20-30%"))</f>
        <v>10-20%</v>
      </c>
      <c r="J70">
        <v>1079.8399999999999</v>
      </c>
      <c r="K70" t="s">
        <v>262</v>
      </c>
      <c r="L70" t="s">
        <v>266</v>
      </c>
      <c r="M70">
        <f t="shared" si="7"/>
        <v>3239.5199999999995</v>
      </c>
      <c r="N70">
        <f t="shared" si="8"/>
        <v>4283.6940000000004</v>
      </c>
      <c r="O70">
        <f t="shared" si="9"/>
        <v>1044.1740000000009</v>
      </c>
      <c r="P70" s="2">
        <f t="shared" si="10"/>
        <v>0.24375550634569154</v>
      </c>
      <c r="Q70" t="str">
        <f t="shared" si="11"/>
        <v>Weekday</v>
      </c>
      <c r="R70" t="str">
        <f t="shared" si="12"/>
        <v>Feb</v>
      </c>
      <c r="S70">
        <f t="shared" si="13"/>
        <v>2024</v>
      </c>
    </row>
    <row r="71" spans="1:19" x14ac:dyDescent="0.25">
      <c r="A71">
        <v>100069</v>
      </c>
      <c r="B71" s="1">
        <v>45611</v>
      </c>
      <c r="C71" t="s">
        <v>29</v>
      </c>
      <c r="D71" t="s">
        <v>113</v>
      </c>
      <c r="E71" t="s">
        <v>257</v>
      </c>
      <c r="F71">
        <v>4</v>
      </c>
      <c r="G71">
        <v>2703.31</v>
      </c>
      <c r="H71">
        <v>0</v>
      </c>
      <c r="I71" t="str">
        <f>IF(Sales[[#This Row],[Discount]]&lt;=10,"0-10%",IF(Sales[[#This Row],[Discount]]&lt;=20,"10-20%","20-30%"))</f>
        <v>0-10%</v>
      </c>
      <c r="J71">
        <v>1488.05</v>
      </c>
      <c r="K71" t="s">
        <v>262</v>
      </c>
      <c r="L71" t="s">
        <v>265</v>
      </c>
      <c r="M71">
        <f t="shared" si="7"/>
        <v>5952.2</v>
      </c>
      <c r="N71">
        <f t="shared" si="8"/>
        <v>10813.24</v>
      </c>
      <c r="O71">
        <f t="shared" si="9"/>
        <v>4861.04</v>
      </c>
      <c r="P71" s="2">
        <f t="shared" si="10"/>
        <v>0.44954518719643699</v>
      </c>
      <c r="Q71" t="str">
        <f t="shared" si="11"/>
        <v>Weekday</v>
      </c>
      <c r="R71" t="str">
        <f t="shared" si="12"/>
        <v>Nov</v>
      </c>
      <c r="S71">
        <f t="shared" si="13"/>
        <v>2024</v>
      </c>
    </row>
    <row r="72" spans="1:19" x14ac:dyDescent="0.25">
      <c r="A72">
        <v>100070</v>
      </c>
      <c r="B72" s="1">
        <v>45580</v>
      </c>
      <c r="C72" t="s">
        <v>45</v>
      </c>
      <c r="D72" t="s">
        <v>114</v>
      </c>
      <c r="E72" t="s">
        <v>260</v>
      </c>
      <c r="F72">
        <v>1</v>
      </c>
      <c r="G72">
        <v>633.41999999999996</v>
      </c>
      <c r="H72">
        <v>0</v>
      </c>
      <c r="I72" t="str">
        <f>IF(Sales[[#This Row],[Discount]]&lt;=10,"0-10%",IF(Sales[[#This Row],[Discount]]&lt;=20,"10-20%","20-30%"))</f>
        <v>0-10%</v>
      </c>
      <c r="J72">
        <v>328.77</v>
      </c>
      <c r="K72" t="s">
        <v>262</v>
      </c>
      <c r="L72" t="s">
        <v>265</v>
      </c>
      <c r="M72">
        <f t="shared" si="7"/>
        <v>328.77</v>
      </c>
      <c r="N72">
        <f t="shared" si="8"/>
        <v>633.41999999999996</v>
      </c>
      <c r="O72">
        <f t="shared" si="9"/>
        <v>304.64999999999998</v>
      </c>
      <c r="P72" s="2">
        <f t="shared" si="10"/>
        <v>0.4809605001420858</v>
      </c>
      <c r="Q72" t="str">
        <f t="shared" si="11"/>
        <v>Weekday</v>
      </c>
      <c r="R72" t="str">
        <f t="shared" si="12"/>
        <v>Oct</v>
      </c>
      <c r="S72">
        <f t="shared" si="13"/>
        <v>2024</v>
      </c>
    </row>
    <row r="73" spans="1:19" x14ac:dyDescent="0.25">
      <c r="A73">
        <v>100071</v>
      </c>
      <c r="B73" s="1">
        <v>45653</v>
      </c>
      <c r="C73" t="s">
        <v>36</v>
      </c>
      <c r="D73" t="s">
        <v>115</v>
      </c>
      <c r="E73" t="s">
        <v>258</v>
      </c>
      <c r="F73">
        <v>3</v>
      </c>
      <c r="G73">
        <v>429.8</v>
      </c>
      <c r="H73">
        <v>15</v>
      </c>
      <c r="I73" t="str">
        <f>IF(Sales[[#This Row],[Discount]]&lt;=10,"0-10%",IF(Sales[[#This Row],[Discount]]&lt;=20,"10-20%","20-30%"))</f>
        <v>10-20%</v>
      </c>
      <c r="J73">
        <v>246.56</v>
      </c>
      <c r="K73" t="s">
        <v>262</v>
      </c>
      <c r="L73" t="s">
        <v>266</v>
      </c>
      <c r="M73">
        <f t="shared" si="7"/>
        <v>739.68000000000006</v>
      </c>
      <c r="N73">
        <f t="shared" si="8"/>
        <v>1095.99</v>
      </c>
      <c r="O73">
        <f t="shared" si="9"/>
        <v>356.30999999999995</v>
      </c>
      <c r="P73" s="2">
        <f t="shared" si="10"/>
        <v>0.32510333123477397</v>
      </c>
      <c r="Q73" t="str">
        <f t="shared" si="11"/>
        <v>Weekday</v>
      </c>
      <c r="R73" t="str">
        <f t="shared" si="12"/>
        <v>Dec</v>
      </c>
      <c r="S73">
        <f t="shared" si="13"/>
        <v>2024</v>
      </c>
    </row>
    <row r="74" spans="1:19" x14ac:dyDescent="0.25">
      <c r="A74">
        <v>100072</v>
      </c>
      <c r="B74" s="1">
        <v>45116</v>
      </c>
      <c r="C74" t="s">
        <v>38</v>
      </c>
      <c r="D74" t="s">
        <v>116</v>
      </c>
      <c r="E74" t="s">
        <v>258</v>
      </c>
      <c r="F74">
        <v>2</v>
      </c>
      <c r="G74">
        <v>1842.32</v>
      </c>
      <c r="H74">
        <v>5</v>
      </c>
      <c r="I74" t="str">
        <f>IF(Sales[[#This Row],[Discount]]&lt;=10,"0-10%",IF(Sales[[#This Row],[Discount]]&lt;=20,"10-20%","20-30%"))</f>
        <v>0-10%</v>
      </c>
      <c r="J74">
        <v>822.62</v>
      </c>
      <c r="K74" t="s">
        <v>261</v>
      </c>
      <c r="L74" t="s">
        <v>263</v>
      </c>
      <c r="M74">
        <f t="shared" si="7"/>
        <v>1645.24</v>
      </c>
      <c r="N74">
        <f t="shared" si="8"/>
        <v>3500.4079999999999</v>
      </c>
      <c r="O74">
        <f t="shared" si="9"/>
        <v>1855.1679999999999</v>
      </c>
      <c r="P74" s="2">
        <f t="shared" si="10"/>
        <v>0.52998621874935725</v>
      </c>
      <c r="Q74" t="str">
        <f t="shared" si="11"/>
        <v>Weekend</v>
      </c>
      <c r="R74" t="str">
        <f t="shared" si="12"/>
        <v>Jul</v>
      </c>
      <c r="S74">
        <f t="shared" si="13"/>
        <v>2023</v>
      </c>
    </row>
    <row r="75" spans="1:19" x14ac:dyDescent="0.25">
      <c r="A75">
        <v>100073</v>
      </c>
      <c r="B75" s="1">
        <v>45618</v>
      </c>
      <c r="C75" t="s">
        <v>27</v>
      </c>
      <c r="D75" t="s">
        <v>117</v>
      </c>
      <c r="E75" t="s">
        <v>254</v>
      </c>
      <c r="F75">
        <v>2</v>
      </c>
      <c r="G75">
        <v>3076.92</v>
      </c>
      <c r="H75">
        <v>0</v>
      </c>
      <c r="I75" t="str">
        <f>IF(Sales[[#This Row],[Discount]]&lt;=10,"0-10%",IF(Sales[[#This Row],[Discount]]&lt;=20,"10-20%","20-30%"))</f>
        <v>0-10%</v>
      </c>
      <c r="J75">
        <v>1258.92</v>
      </c>
      <c r="K75" t="s">
        <v>261</v>
      </c>
      <c r="L75" t="s">
        <v>264</v>
      </c>
      <c r="M75">
        <f t="shared" si="7"/>
        <v>2517.84</v>
      </c>
      <c r="N75">
        <f t="shared" si="8"/>
        <v>6153.84</v>
      </c>
      <c r="O75">
        <f t="shared" si="9"/>
        <v>3636</v>
      </c>
      <c r="P75" s="2">
        <f t="shared" si="10"/>
        <v>0.59085059085059088</v>
      </c>
      <c r="Q75" t="str">
        <f t="shared" si="11"/>
        <v>Weekday</v>
      </c>
      <c r="R75" t="str">
        <f t="shared" si="12"/>
        <v>Nov</v>
      </c>
      <c r="S75">
        <f t="shared" si="13"/>
        <v>2024</v>
      </c>
    </row>
    <row r="76" spans="1:19" x14ac:dyDescent="0.25">
      <c r="A76">
        <v>100074</v>
      </c>
      <c r="B76" s="1">
        <v>45539</v>
      </c>
      <c r="C76" t="s">
        <v>23</v>
      </c>
      <c r="D76" t="s">
        <v>118</v>
      </c>
      <c r="E76" t="s">
        <v>257</v>
      </c>
      <c r="F76">
        <v>2</v>
      </c>
      <c r="G76">
        <v>1725.35</v>
      </c>
      <c r="H76">
        <v>0</v>
      </c>
      <c r="I76" t="str">
        <f>IF(Sales[[#This Row],[Discount]]&lt;=10,"0-10%",IF(Sales[[#This Row],[Discount]]&lt;=20,"10-20%","20-30%"))</f>
        <v>0-10%</v>
      </c>
      <c r="J76">
        <v>968.14</v>
      </c>
      <c r="K76" t="s">
        <v>268</v>
      </c>
      <c r="L76" t="s">
        <v>266</v>
      </c>
      <c r="M76">
        <f t="shared" si="7"/>
        <v>1936.28</v>
      </c>
      <c r="N76">
        <f t="shared" si="8"/>
        <v>3450.7</v>
      </c>
      <c r="O76">
        <f t="shared" si="9"/>
        <v>1514.4199999999998</v>
      </c>
      <c r="P76" s="2">
        <f t="shared" si="10"/>
        <v>0.43887327208972088</v>
      </c>
      <c r="Q76" t="str">
        <f t="shared" si="11"/>
        <v>Weekday</v>
      </c>
      <c r="R76" t="str">
        <f t="shared" si="12"/>
        <v>Sep</v>
      </c>
      <c r="S76">
        <f t="shared" si="13"/>
        <v>2024</v>
      </c>
    </row>
    <row r="77" spans="1:19" x14ac:dyDescent="0.25">
      <c r="A77">
        <v>100075</v>
      </c>
      <c r="B77" s="1">
        <v>45029</v>
      </c>
      <c r="C77" t="s">
        <v>12</v>
      </c>
      <c r="D77" t="s">
        <v>119</v>
      </c>
      <c r="E77" t="s">
        <v>258</v>
      </c>
      <c r="F77">
        <v>1</v>
      </c>
      <c r="G77">
        <v>1576.25</v>
      </c>
      <c r="H77">
        <v>5</v>
      </c>
      <c r="I77" t="str">
        <f>IF(Sales[[#This Row],[Discount]]&lt;=10,"0-10%",IF(Sales[[#This Row],[Discount]]&lt;=20,"10-20%","20-30%"))</f>
        <v>0-10%</v>
      </c>
      <c r="J77">
        <v>1086.94</v>
      </c>
      <c r="K77" t="s">
        <v>262</v>
      </c>
      <c r="L77" t="s">
        <v>265</v>
      </c>
      <c r="M77">
        <f t="shared" si="7"/>
        <v>1086.94</v>
      </c>
      <c r="N77">
        <f t="shared" si="8"/>
        <v>1497.4375</v>
      </c>
      <c r="O77">
        <f t="shared" si="9"/>
        <v>410.49749999999995</v>
      </c>
      <c r="P77" s="2">
        <f t="shared" si="10"/>
        <v>0.27413331107308314</v>
      </c>
      <c r="Q77" t="str">
        <f t="shared" si="11"/>
        <v>Weekday</v>
      </c>
      <c r="R77" t="str">
        <f t="shared" si="12"/>
        <v>Apr</v>
      </c>
      <c r="S77">
        <f t="shared" si="13"/>
        <v>2023</v>
      </c>
    </row>
    <row r="78" spans="1:19" x14ac:dyDescent="0.25">
      <c r="A78">
        <v>100076</v>
      </c>
      <c r="B78" s="1">
        <v>44973</v>
      </c>
      <c r="C78" t="s">
        <v>18</v>
      </c>
      <c r="D78" t="s">
        <v>120</v>
      </c>
      <c r="E78" t="s">
        <v>258</v>
      </c>
      <c r="F78">
        <v>2</v>
      </c>
      <c r="G78">
        <v>542.9</v>
      </c>
      <c r="H78">
        <v>10</v>
      </c>
      <c r="I78" t="str">
        <f>IF(Sales[[#This Row],[Discount]]&lt;=10,"0-10%",IF(Sales[[#This Row],[Discount]]&lt;=20,"10-20%","20-30%"))</f>
        <v>0-10%</v>
      </c>
      <c r="J78">
        <v>303.7</v>
      </c>
      <c r="K78" t="s">
        <v>268</v>
      </c>
      <c r="L78" t="s">
        <v>263</v>
      </c>
      <c r="M78">
        <f t="shared" si="7"/>
        <v>607.4</v>
      </c>
      <c r="N78">
        <f t="shared" si="8"/>
        <v>977.22</v>
      </c>
      <c r="O78">
        <f t="shared" si="9"/>
        <v>369.82000000000005</v>
      </c>
      <c r="P78" s="2">
        <f t="shared" si="10"/>
        <v>0.37844088332207693</v>
      </c>
      <c r="Q78" t="str">
        <f t="shared" si="11"/>
        <v>Weekday</v>
      </c>
      <c r="R78" t="str">
        <f t="shared" si="12"/>
        <v>Feb</v>
      </c>
      <c r="S78">
        <f t="shared" si="13"/>
        <v>2023</v>
      </c>
    </row>
    <row r="79" spans="1:19" x14ac:dyDescent="0.25">
      <c r="A79">
        <v>100077</v>
      </c>
      <c r="B79" s="1">
        <v>45296</v>
      </c>
      <c r="C79" t="s">
        <v>14</v>
      </c>
      <c r="D79" t="s">
        <v>80</v>
      </c>
      <c r="E79" t="s">
        <v>254</v>
      </c>
      <c r="F79">
        <v>3</v>
      </c>
      <c r="G79">
        <v>950.26</v>
      </c>
      <c r="H79">
        <v>25</v>
      </c>
      <c r="I79" t="str">
        <f>IF(Sales[[#This Row],[Discount]]&lt;=10,"0-10%",IF(Sales[[#This Row],[Discount]]&lt;=20,"10-20%","20-30%"))</f>
        <v>20-30%</v>
      </c>
      <c r="J79">
        <v>417.95</v>
      </c>
      <c r="K79" t="s">
        <v>268</v>
      </c>
      <c r="L79" t="s">
        <v>266</v>
      </c>
      <c r="M79">
        <f t="shared" si="7"/>
        <v>1253.8499999999999</v>
      </c>
      <c r="N79">
        <f t="shared" si="8"/>
        <v>2138.085</v>
      </c>
      <c r="O79">
        <f t="shared" si="9"/>
        <v>884.23500000000013</v>
      </c>
      <c r="P79" s="2">
        <f t="shared" si="10"/>
        <v>0.41356400704368634</v>
      </c>
      <c r="Q79" t="str">
        <f t="shared" si="11"/>
        <v>Weekday</v>
      </c>
      <c r="R79" t="str">
        <f t="shared" si="12"/>
        <v>Jan</v>
      </c>
      <c r="S79">
        <f t="shared" si="13"/>
        <v>2024</v>
      </c>
    </row>
    <row r="80" spans="1:19" x14ac:dyDescent="0.25">
      <c r="A80">
        <v>100078</v>
      </c>
      <c r="B80" s="1">
        <v>45530</v>
      </c>
      <c r="C80" t="s">
        <v>46</v>
      </c>
      <c r="D80" t="s">
        <v>110</v>
      </c>
      <c r="E80" t="s">
        <v>257</v>
      </c>
      <c r="F80">
        <v>2</v>
      </c>
      <c r="G80">
        <v>1817.9</v>
      </c>
      <c r="H80">
        <v>0</v>
      </c>
      <c r="I80" t="str">
        <f>IF(Sales[[#This Row],[Discount]]&lt;=10,"0-10%",IF(Sales[[#This Row],[Discount]]&lt;=20,"10-20%","20-30%"))</f>
        <v>0-10%</v>
      </c>
      <c r="J80">
        <v>1160.83</v>
      </c>
      <c r="K80" t="s">
        <v>262</v>
      </c>
      <c r="L80" t="s">
        <v>265</v>
      </c>
      <c r="M80">
        <f t="shared" si="7"/>
        <v>2321.66</v>
      </c>
      <c r="N80">
        <f t="shared" si="8"/>
        <v>3635.8</v>
      </c>
      <c r="O80">
        <f t="shared" si="9"/>
        <v>1314.1400000000003</v>
      </c>
      <c r="P80" s="2">
        <f t="shared" si="10"/>
        <v>0.36144452390120474</v>
      </c>
      <c r="Q80" t="str">
        <f t="shared" si="11"/>
        <v>Weekday</v>
      </c>
      <c r="R80" t="str">
        <f t="shared" si="12"/>
        <v>Aug</v>
      </c>
      <c r="S80">
        <f t="shared" si="13"/>
        <v>2024</v>
      </c>
    </row>
    <row r="81" spans="1:19" x14ac:dyDescent="0.25">
      <c r="A81">
        <v>100079</v>
      </c>
      <c r="B81" s="1">
        <v>45053</v>
      </c>
      <c r="C81" t="s">
        <v>18</v>
      </c>
      <c r="D81" t="s">
        <v>121</v>
      </c>
      <c r="E81" t="s">
        <v>259</v>
      </c>
      <c r="F81">
        <v>3</v>
      </c>
      <c r="G81">
        <v>1479.04</v>
      </c>
      <c r="H81">
        <v>30</v>
      </c>
      <c r="I81" t="str">
        <f>IF(Sales[[#This Row],[Discount]]&lt;=10,"0-10%",IF(Sales[[#This Row],[Discount]]&lt;=20,"10-20%","20-30%"))</f>
        <v>20-30%</v>
      </c>
      <c r="J81">
        <v>673.41</v>
      </c>
      <c r="K81" t="s">
        <v>262</v>
      </c>
      <c r="L81" t="s">
        <v>266</v>
      </c>
      <c r="M81">
        <f t="shared" si="7"/>
        <v>2020.23</v>
      </c>
      <c r="N81">
        <f t="shared" si="8"/>
        <v>3105.9839999999999</v>
      </c>
      <c r="O81">
        <f t="shared" si="9"/>
        <v>1085.7539999999999</v>
      </c>
      <c r="P81" s="2">
        <f t="shared" si="10"/>
        <v>0.34956844594176917</v>
      </c>
      <c r="Q81" t="str">
        <f t="shared" si="11"/>
        <v>Weekend</v>
      </c>
      <c r="R81" t="str">
        <f t="shared" si="12"/>
        <v>May</v>
      </c>
      <c r="S81">
        <f t="shared" si="13"/>
        <v>2023</v>
      </c>
    </row>
    <row r="82" spans="1:19" x14ac:dyDescent="0.25">
      <c r="A82">
        <v>100080</v>
      </c>
      <c r="B82" s="1">
        <v>45439</v>
      </c>
      <c r="C82" t="s">
        <v>33</v>
      </c>
      <c r="D82" t="s">
        <v>122</v>
      </c>
      <c r="E82" t="s">
        <v>258</v>
      </c>
      <c r="F82">
        <v>4</v>
      </c>
      <c r="G82">
        <v>2222.08</v>
      </c>
      <c r="H82">
        <v>10</v>
      </c>
      <c r="I82" t="str">
        <f>IF(Sales[[#This Row],[Discount]]&lt;=10,"0-10%",IF(Sales[[#This Row],[Discount]]&lt;=20,"10-20%","20-30%"))</f>
        <v>0-10%</v>
      </c>
      <c r="J82">
        <v>1004.35</v>
      </c>
      <c r="K82" t="s">
        <v>262</v>
      </c>
      <c r="L82" t="s">
        <v>267</v>
      </c>
      <c r="M82">
        <f t="shared" si="7"/>
        <v>4017.4</v>
      </c>
      <c r="N82">
        <f t="shared" si="8"/>
        <v>7999.4880000000003</v>
      </c>
      <c r="O82">
        <f t="shared" si="9"/>
        <v>3982.0880000000002</v>
      </c>
      <c r="P82" s="2">
        <f t="shared" si="10"/>
        <v>0.49779285874295953</v>
      </c>
      <c r="Q82" t="str">
        <f t="shared" si="11"/>
        <v>Weekday</v>
      </c>
      <c r="R82" t="str">
        <f t="shared" si="12"/>
        <v>May</v>
      </c>
      <c r="S82">
        <f t="shared" si="13"/>
        <v>2024</v>
      </c>
    </row>
    <row r="83" spans="1:19" x14ac:dyDescent="0.25">
      <c r="A83">
        <v>100081</v>
      </c>
      <c r="B83" s="1">
        <v>45414</v>
      </c>
      <c r="C83" t="s">
        <v>15</v>
      </c>
      <c r="D83" t="s">
        <v>123</v>
      </c>
      <c r="E83" t="s">
        <v>259</v>
      </c>
      <c r="F83">
        <v>4</v>
      </c>
      <c r="G83">
        <v>2881.37</v>
      </c>
      <c r="H83">
        <v>30</v>
      </c>
      <c r="I83" t="str">
        <f>IF(Sales[[#This Row],[Discount]]&lt;=10,"0-10%",IF(Sales[[#This Row],[Discount]]&lt;=20,"10-20%","20-30%"))</f>
        <v>20-30%</v>
      </c>
      <c r="J83">
        <v>1770.25</v>
      </c>
      <c r="K83" t="s">
        <v>262</v>
      </c>
      <c r="L83" t="s">
        <v>265</v>
      </c>
      <c r="M83">
        <f t="shared" si="7"/>
        <v>7081</v>
      </c>
      <c r="N83">
        <f t="shared" si="8"/>
        <v>8067.8359999999993</v>
      </c>
      <c r="O83">
        <f t="shared" si="9"/>
        <v>986.83599999999933</v>
      </c>
      <c r="P83" s="2">
        <f t="shared" si="10"/>
        <v>0.12231731036674511</v>
      </c>
      <c r="Q83" t="str">
        <f t="shared" si="11"/>
        <v>Weekday</v>
      </c>
      <c r="R83" t="str">
        <f t="shared" si="12"/>
        <v>May</v>
      </c>
      <c r="S83">
        <f t="shared" si="13"/>
        <v>2024</v>
      </c>
    </row>
    <row r="84" spans="1:19" x14ac:dyDescent="0.25">
      <c r="A84">
        <v>100082</v>
      </c>
      <c r="B84" s="1">
        <v>45373</v>
      </c>
      <c r="C84" t="s">
        <v>27</v>
      </c>
      <c r="D84" t="s">
        <v>124</v>
      </c>
      <c r="E84" t="s">
        <v>259</v>
      </c>
      <c r="F84">
        <v>1</v>
      </c>
      <c r="G84">
        <v>4787.87</v>
      </c>
      <c r="H84">
        <v>10</v>
      </c>
      <c r="I84" t="str">
        <f>IF(Sales[[#This Row],[Discount]]&lt;=10,"0-10%",IF(Sales[[#This Row],[Discount]]&lt;=20,"10-20%","20-30%"))</f>
        <v>0-10%</v>
      </c>
      <c r="J84">
        <v>2975.03</v>
      </c>
      <c r="K84" t="s">
        <v>261</v>
      </c>
      <c r="L84" t="s">
        <v>264</v>
      </c>
      <c r="M84">
        <f t="shared" si="7"/>
        <v>2975.03</v>
      </c>
      <c r="N84">
        <f t="shared" si="8"/>
        <v>4309.0829999999996</v>
      </c>
      <c r="O84">
        <f t="shared" si="9"/>
        <v>1334.0529999999994</v>
      </c>
      <c r="P84" s="2">
        <f t="shared" si="10"/>
        <v>0.3095909268863003</v>
      </c>
      <c r="Q84" t="str">
        <f t="shared" si="11"/>
        <v>Weekday</v>
      </c>
      <c r="R84" t="str">
        <f t="shared" si="12"/>
        <v>Mar</v>
      </c>
      <c r="S84">
        <f t="shared" si="13"/>
        <v>2024</v>
      </c>
    </row>
    <row r="85" spans="1:19" x14ac:dyDescent="0.25">
      <c r="A85">
        <v>100083</v>
      </c>
      <c r="B85" s="1">
        <v>45080</v>
      </c>
      <c r="C85" t="s">
        <v>35</v>
      </c>
      <c r="D85" t="s">
        <v>98</v>
      </c>
      <c r="E85" t="s">
        <v>256</v>
      </c>
      <c r="F85">
        <v>2</v>
      </c>
      <c r="G85">
        <v>3731.18</v>
      </c>
      <c r="H85">
        <v>10</v>
      </c>
      <c r="I85" t="str">
        <f>IF(Sales[[#This Row],[Discount]]&lt;=10,"0-10%",IF(Sales[[#This Row],[Discount]]&lt;=20,"10-20%","20-30%"))</f>
        <v>0-10%</v>
      </c>
      <c r="J85">
        <v>1545.88</v>
      </c>
      <c r="K85" t="s">
        <v>262</v>
      </c>
      <c r="L85" t="s">
        <v>266</v>
      </c>
      <c r="M85">
        <f t="shared" si="7"/>
        <v>3091.76</v>
      </c>
      <c r="N85">
        <f t="shared" si="8"/>
        <v>6716.1239999999998</v>
      </c>
      <c r="O85">
        <f t="shared" si="9"/>
        <v>3624.3639999999996</v>
      </c>
      <c r="P85" s="2">
        <f t="shared" si="10"/>
        <v>0.53965114402295133</v>
      </c>
      <c r="Q85" t="str">
        <f t="shared" si="11"/>
        <v>Weekend</v>
      </c>
      <c r="R85" t="str">
        <f t="shared" si="12"/>
        <v>Jun</v>
      </c>
      <c r="S85">
        <f t="shared" si="13"/>
        <v>2023</v>
      </c>
    </row>
    <row r="86" spans="1:19" x14ac:dyDescent="0.25">
      <c r="A86">
        <v>100084</v>
      </c>
      <c r="B86" s="1">
        <v>45146</v>
      </c>
      <c r="C86" t="s">
        <v>47</v>
      </c>
      <c r="D86" t="s">
        <v>124</v>
      </c>
      <c r="E86" t="s">
        <v>258</v>
      </c>
      <c r="F86">
        <v>3</v>
      </c>
      <c r="G86">
        <v>3861.88</v>
      </c>
      <c r="H86">
        <v>25</v>
      </c>
      <c r="I86" t="str">
        <f>IF(Sales[[#This Row],[Discount]]&lt;=10,"0-10%",IF(Sales[[#This Row],[Discount]]&lt;=20,"10-20%","20-30%"))</f>
        <v>20-30%</v>
      </c>
      <c r="J86">
        <v>1561.43</v>
      </c>
      <c r="K86" t="s">
        <v>262</v>
      </c>
      <c r="L86" t="s">
        <v>263</v>
      </c>
      <c r="M86">
        <f t="shared" si="7"/>
        <v>4684.29</v>
      </c>
      <c r="N86">
        <f t="shared" si="8"/>
        <v>8689.23</v>
      </c>
      <c r="O86">
        <f t="shared" si="9"/>
        <v>4004.9399999999996</v>
      </c>
      <c r="P86" s="2">
        <f t="shared" si="10"/>
        <v>0.46090850397561117</v>
      </c>
      <c r="Q86" t="str">
        <f t="shared" si="11"/>
        <v>Weekday</v>
      </c>
      <c r="R86" t="str">
        <f t="shared" si="12"/>
        <v>Aug</v>
      </c>
      <c r="S86">
        <f t="shared" si="13"/>
        <v>2023</v>
      </c>
    </row>
    <row r="87" spans="1:19" x14ac:dyDescent="0.25">
      <c r="A87">
        <v>100085</v>
      </c>
      <c r="B87" s="1">
        <v>45379</v>
      </c>
      <c r="C87" t="s">
        <v>48</v>
      </c>
      <c r="D87" t="s">
        <v>98</v>
      </c>
      <c r="E87" t="s">
        <v>257</v>
      </c>
      <c r="F87">
        <v>3</v>
      </c>
      <c r="G87">
        <v>491.43</v>
      </c>
      <c r="H87">
        <v>5</v>
      </c>
      <c r="I87" t="str">
        <f>IF(Sales[[#This Row],[Discount]]&lt;=10,"0-10%",IF(Sales[[#This Row],[Discount]]&lt;=20,"10-20%","20-30%"))</f>
        <v>0-10%</v>
      </c>
      <c r="J87">
        <v>322.69</v>
      </c>
      <c r="K87" t="s">
        <v>268</v>
      </c>
      <c r="L87" t="s">
        <v>267</v>
      </c>
      <c r="M87">
        <f t="shared" si="7"/>
        <v>968.06999999999994</v>
      </c>
      <c r="N87">
        <f t="shared" si="8"/>
        <v>1400.5754999999999</v>
      </c>
      <c r="O87">
        <f t="shared" si="9"/>
        <v>432.50549999999998</v>
      </c>
      <c r="P87" s="2">
        <f t="shared" si="10"/>
        <v>0.30880555885776956</v>
      </c>
      <c r="Q87" t="str">
        <f t="shared" si="11"/>
        <v>Weekday</v>
      </c>
      <c r="R87" t="str">
        <f t="shared" si="12"/>
        <v>Mar</v>
      </c>
      <c r="S87">
        <f t="shared" si="13"/>
        <v>2024</v>
      </c>
    </row>
    <row r="88" spans="1:19" x14ac:dyDescent="0.25">
      <c r="A88">
        <v>100086</v>
      </c>
      <c r="B88" s="1">
        <v>45538</v>
      </c>
      <c r="C88" t="s">
        <v>38</v>
      </c>
      <c r="D88" t="s">
        <v>125</v>
      </c>
      <c r="E88" t="s">
        <v>257</v>
      </c>
      <c r="F88">
        <v>2</v>
      </c>
      <c r="G88">
        <v>3887.81</v>
      </c>
      <c r="H88">
        <v>10</v>
      </c>
      <c r="I88" t="str">
        <f>IF(Sales[[#This Row],[Discount]]&lt;=10,"0-10%",IF(Sales[[#This Row],[Discount]]&lt;=20,"10-20%","20-30%"))</f>
        <v>0-10%</v>
      </c>
      <c r="J88">
        <v>2496.2600000000002</v>
      </c>
      <c r="K88" t="s">
        <v>262</v>
      </c>
      <c r="L88" t="s">
        <v>263</v>
      </c>
      <c r="M88">
        <f t="shared" si="7"/>
        <v>4992.5200000000004</v>
      </c>
      <c r="N88">
        <f t="shared" si="8"/>
        <v>6998.058</v>
      </c>
      <c r="O88">
        <f t="shared" si="9"/>
        <v>2005.5379999999996</v>
      </c>
      <c r="P88" s="2">
        <f t="shared" si="10"/>
        <v>0.28658493542065522</v>
      </c>
      <c r="Q88" t="str">
        <f t="shared" si="11"/>
        <v>Weekday</v>
      </c>
      <c r="R88" t="str">
        <f t="shared" si="12"/>
        <v>Sep</v>
      </c>
      <c r="S88">
        <f t="shared" si="13"/>
        <v>2024</v>
      </c>
    </row>
    <row r="89" spans="1:19" x14ac:dyDescent="0.25">
      <c r="A89">
        <v>100087</v>
      </c>
      <c r="B89" s="1">
        <v>45448</v>
      </c>
      <c r="C89" t="s">
        <v>11</v>
      </c>
      <c r="D89" t="s">
        <v>124</v>
      </c>
      <c r="E89" t="s">
        <v>256</v>
      </c>
      <c r="F89">
        <v>2</v>
      </c>
      <c r="G89">
        <v>2339.1</v>
      </c>
      <c r="H89">
        <v>30</v>
      </c>
      <c r="I89" t="str">
        <f>IF(Sales[[#This Row],[Discount]]&lt;=10,"0-10%",IF(Sales[[#This Row],[Discount]]&lt;=20,"10-20%","20-30%"))</f>
        <v>20-30%</v>
      </c>
      <c r="J89">
        <v>1215.28</v>
      </c>
      <c r="K89" t="s">
        <v>268</v>
      </c>
      <c r="L89" t="s">
        <v>266</v>
      </c>
      <c r="M89">
        <f t="shared" si="7"/>
        <v>2430.56</v>
      </c>
      <c r="N89">
        <f t="shared" si="8"/>
        <v>3274.74</v>
      </c>
      <c r="O89">
        <f t="shared" si="9"/>
        <v>844.17999999999984</v>
      </c>
      <c r="P89" s="2">
        <f t="shared" si="10"/>
        <v>0.25778535089808652</v>
      </c>
      <c r="Q89" t="str">
        <f t="shared" si="11"/>
        <v>Weekday</v>
      </c>
      <c r="R89" t="str">
        <f t="shared" si="12"/>
        <v>Jun</v>
      </c>
      <c r="S89">
        <f t="shared" si="13"/>
        <v>2024</v>
      </c>
    </row>
    <row r="90" spans="1:19" x14ac:dyDescent="0.25">
      <c r="A90">
        <v>100088</v>
      </c>
      <c r="B90" s="1">
        <v>45585</v>
      </c>
      <c r="C90" t="s">
        <v>23</v>
      </c>
      <c r="D90" t="s">
        <v>89</v>
      </c>
      <c r="E90" t="s">
        <v>257</v>
      </c>
      <c r="F90">
        <v>4</v>
      </c>
      <c r="G90">
        <v>512.92999999999995</v>
      </c>
      <c r="H90">
        <v>30</v>
      </c>
      <c r="I90" t="str">
        <f>IF(Sales[[#This Row],[Discount]]&lt;=10,"0-10%",IF(Sales[[#This Row],[Discount]]&lt;=20,"10-20%","20-30%"))</f>
        <v>20-30%</v>
      </c>
      <c r="J90">
        <v>262.82</v>
      </c>
      <c r="K90" t="s">
        <v>268</v>
      </c>
      <c r="L90" t="s">
        <v>263</v>
      </c>
      <c r="M90">
        <f t="shared" si="7"/>
        <v>1051.28</v>
      </c>
      <c r="N90">
        <f t="shared" si="8"/>
        <v>1436.2039999999997</v>
      </c>
      <c r="O90">
        <f t="shared" si="9"/>
        <v>384.92399999999975</v>
      </c>
      <c r="P90" s="2">
        <f t="shared" si="10"/>
        <v>0.26801485025804123</v>
      </c>
      <c r="Q90" t="str">
        <f t="shared" si="11"/>
        <v>Weekend</v>
      </c>
      <c r="R90" t="str">
        <f t="shared" si="12"/>
        <v>Oct</v>
      </c>
      <c r="S90">
        <f t="shared" si="13"/>
        <v>2024</v>
      </c>
    </row>
    <row r="91" spans="1:19" x14ac:dyDescent="0.25">
      <c r="A91">
        <v>100089</v>
      </c>
      <c r="B91" s="1">
        <v>45442</v>
      </c>
      <c r="C91" t="s">
        <v>25</v>
      </c>
      <c r="D91" t="s">
        <v>126</v>
      </c>
      <c r="E91" t="s">
        <v>257</v>
      </c>
      <c r="F91">
        <v>4</v>
      </c>
      <c r="G91">
        <v>4325.5</v>
      </c>
      <c r="H91">
        <v>20</v>
      </c>
      <c r="I91" t="str">
        <f>IF(Sales[[#This Row],[Discount]]&lt;=10,"0-10%",IF(Sales[[#This Row],[Discount]]&lt;=20,"10-20%","20-30%"))</f>
        <v>10-20%</v>
      </c>
      <c r="J91">
        <v>2584.9499999999998</v>
      </c>
      <c r="K91" t="s">
        <v>268</v>
      </c>
      <c r="L91" t="s">
        <v>265</v>
      </c>
      <c r="M91">
        <f t="shared" si="7"/>
        <v>10339.799999999999</v>
      </c>
      <c r="N91">
        <f t="shared" si="8"/>
        <v>13841.6</v>
      </c>
      <c r="O91">
        <f t="shared" si="9"/>
        <v>3501.8000000000011</v>
      </c>
      <c r="P91" s="2">
        <f t="shared" si="10"/>
        <v>0.25299098370130629</v>
      </c>
      <c r="Q91" t="str">
        <f t="shared" si="11"/>
        <v>Weekday</v>
      </c>
      <c r="R91" t="str">
        <f t="shared" si="12"/>
        <v>May</v>
      </c>
      <c r="S91">
        <f t="shared" si="13"/>
        <v>2024</v>
      </c>
    </row>
    <row r="92" spans="1:19" x14ac:dyDescent="0.25">
      <c r="A92">
        <v>100090</v>
      </c>
      <c r="B92" s="1">
        <v>45086</v>
      </c>
      <c r="C92" t="s">
        <v>47</v>
      </c>
      <c r="D92" t="s">
        <v>127</v>
      </c>
      <c r="E92" t="s">
        <v>257</v>
      </c>
      <c r="F92">
        <v>4</v>
      </c>
      <c r="G92">
        <v>4736.29</v>
      </c>
      <c r="H92">
        <v>30</v>
      </c>
      <c r="I92" t="str">
        <f>IF(Sales[[#This Row],[Discount]]&lt;=10,"0-10%",IF(Sales[[#This Row],[Discount]]&lt;=20,"10-20%","20-30%"))</f>
        <v>20-30%</v>
      </c>
      <c r="J92">
        <v>3236.19</v>
      </c>
      <c r="K92" t="s">
        <v>261</v>
      </c>
      <c r="L92" t="s">
        <v>263</v>
      </c>
      <c r="M92">
        <f t="shared" si="7"/>
        <v>12944.76</v>
      </c>
      <c r="N92">
        <f t="shared" si="8"/>
        <v>13261.611999999999</v>
      </c>
      <c r="O92">
        <f t="shared" si="9"/>
        <v>316.85199999999895</v>
      </c>
      <c r="P92" s="2">
        <f t="shared" si="10"/>
        <v>2.3892419714888279E-2</v>
      </c>
      <c r="Q92" t="str">
        <f t="shared" si="11"/>
        <v>Weekday</v>
      </c>
      <c r="R92" t="str">
        <f t="shared" si="12"/>
        <v>Jun</v>
      </c>
      <c r="S92">
        <f t="shared" si="13"/>
        <v>2023</v>
      </c>
    </row>
    <row r="93" spans="1:19" x14ac:dyDescent="0.25">
      <c r="A93">
        <v>100091</v>
      </c>
      <c r="B93" s="1">
        <v>45471</v>
      </c>
      <c r="C93" t="s">
        <v>43</v>
      </c>
      <c r="D93" t="s">
        <v>128</v>
      </c>
      <c r="E93" t="s">
        <v>258</v>
      </c>
      <c r="F93">
        <v>4</v>
      </c>
      <c r="G93">
        <v>3482.69</v>
      </c>
      <c r="H93">
        <v>15</v>
      </c>
      <c r="I93" t="str">
        <f>IF(Sales[[#This Row],[Discount]]&lt;=10,"0-10%",IF(Sales[[#This Row],[Discount]]&lt;=20,"10-20%","20-30%"))</f>
        <v>10-20%</v>
      </c>
      <c r="J93">
        <v>1992.13</v>
      </c>
      <c r="K93" t="s">
        <v>261</v>
      </c>
      <c r="L93" t="s">
        <v>263</v>
      </c>
      <c r="M93">
        <f t="shared" si="7"/>
        <v>7968.52</v>
      </c>
      <c r="N93">
        <f t="shared" si="8"/>
        <v>11841.146000000001</v>
      </c>
      <c r="O93">
        <f t="shared" si="9"/>
        <v>3872.6260000000002</v>
      </c>
      <c r="P93" s="2">
        <f t="shared" si="10"/>
        <v>0.3270482434723801</v>
      </c>
      <c r="Q93" t="str">
        <f t="shared" si="11"/>
        <v>Weekday</v>
      </c>
      <c r="R93" t="str">
        <f t="shared" si="12"/>
        <v>Jun</v>
      </c>
      <c r="S93">
        <f t="shared" si="13"/>
        <v>2024</v>
      </c>
    </row>
    <row r="94" spans="1:19" x14ac:dyDescent="0.25">
      <c r="A94">
        <v>100092</v>
      </c>
      <c r="B94" s="1">
        <v>45503</v>
      </c>
      <c r="C94" t="s">
        <v>11</v>
      </c>
      <c r="D94" t="s">
        <v>128</v>
      </c>
      <c r="E94" t="s">
        <v>254</v>
      </c>
      <c r="F94">
        <v>1</v>
      </c>
      <c r="G94">
        <v>2864.4</v>
      </c>
      <c r="H94">
        <v>15</v>
      </c>
      <c r="I94" t="str">
        <f>IF(Sales[[#This Row],[Discount]]&lt;=10,"0-10%",IF(Sales[[#This Row],[Discount]]&lt;=20,"10-20%","20-30%"))</f>
        <v>10-20%</v>
      </c>
      <c r="J94">
        <v>1954.78</v>
      </c>
      <c r="K94" t="s">
        <v>262</v>
      </c>
      <c r="L94" t="s">
        <v>267</v>
      </c>
      <c r="M94">
        <f t="shared" si="7"/>
        <v>1954.78</v>
      </c>
      <c r="N94">
        <f t="shared" si="8"/>
        <v>2434.7400000000002</v>
      </c>
      <c r="O94">
        <f t="shared" si="9"/>
        <v>479.96000000000026</v>
      </c>
      <c r="P94" s="2">
        <f t="shared" si="10"/>
        <v>0.19712987834429968</v>
      </c>
      <c r="Q94" t="str">
        <f t="shared" si="11"/>
        <v>Weekday</v>
      </c>
      <c r="R94" t="str">
        <f t="shared" si="12"/>
        <v>Jul</v>
      </c>
      <c r="S94">
        <f t="shared" si="13"/>
        <v>2024</v>
      </c>
    </row>
    <row r="95" spans="1:19" x14ac:dyDescent="0.25">
      <c r="A95">
        <v>100093</v>
      </c>
      <c r="B95" s="1">
        <v>45323</v>
      </c>
      <c r="C95" t="s">
        <v>18</v>
      </c>
      <c r="D95" t="s">
        <v>129</v>
      </c>
      <c r="E95" t="s">
        <v>257</v>
      </c>
      <c r="F95">
        <v>4</v>
      </c>
      <c r="G95">
        <v>4555.1499999999996</v>
      </c>
      <c r="H95">
        <v>25</v>
      </c>
      <c r="I95" t="str">
        <f>IF(Sales[[#This Row],[Discount]]&lt;=10,"0-10%",IF(Sales[[#This Row],[Discount]]&lt;=20,"10-20%","20-30%"))</f>
        <v>20-30%</v>
      </c>
      <c r="J95">
        <v>2089.62</v>
      </c>
      <c r="K95" t="s">
        <v>262</v>
      </c>
      <c r="L95" t="s">
        <v>266</v>
      </c>
      <c r="M95">
        <f t="shared" si="7"/>
        <v>8358.48</v>
      </c>
      <c r="N95">
        <f t="shared" si="8"/>
        <v>13665.449999999999</v>
      </c>
      <c r="O95">
        <f t="shared" si="9"/>
        <v>5306.9699999999993</v>
      </c>
      <c r="P95" s="2">
        <f t="shared" si="10"/>
        <v>0.38834945062182363</v>
      </c>
      <c r="Q95" t="str">
        <f t="shared" si="11"/>
        <v>Weekday</v>
      </c>
      <c r="R95" t="str">
        <f t="shared" si="12"/>
        <v>Feb</v>
      </c>
      <c r="S95">
        <f t="shared" si="13"/>
        <v>2024</v>
      </c>
    </row>
    <row r="96" spans="1:19" x14ac:dyDescent="0.25">
      <c r="A96">
        <v>100094</v>
      </c>
      <c r="B96" s="1">
        <v>44961</v>
      </c>
      <c r="C96" t="s">
        <v>49</v>
      </c>
      <c r="D96" t="s">
        <v>76</v>
      </c>
      <c r="E96" t="s">
        <v>260</v>
      </c>
      <c r="F96">
        <v>3</v>
      </c>
      <c r="G96">
        <v>2073.12</v>
      </c>
      <c r="H96">
        <v>25</v>
      </c>
      <c r="I96" t="str">
        <f>IF(Sales[[#This Row],[Discount]]&lt;=10,"0-10%",IF(Sales[[#This Row],[Discount]]&lt;=20,"10-20%","20-30%"))</f>
        <v>20-30%</v>
      </c>
      <c r="J96">
        <v>853.48</v>
      </c>
      <c r="K96" t="s">
        <v>261</v>
      </c>
      <c r="L96" t="s">
        <v>264</v>
      </c>
      <c r="M96">
        <f t="shared" si="7"/>
        <v>2560.44</v>
      </c>
      <c r="N96">
        <f t="shared" si="8"/>
        <v>4664.5199999999995</v>
      </c>
      <c r="O96">
        <f t="shared" si="9"/>
        <v>2104.0799999999995</v>
      </c>
      <c r="P96" s="2">
        <f t="shared" si="10"/>
        <v>0.45108178333461957</v>
      </c>
      <c r="Q96" t="str">
        <f t="shared" si="11"/>
        <v>Weekend</v>
      </c>
      <c r="R96" t="str">
        <f t="shared" si="12"/>
        <v>Feb</v>
      </c>
      <c r="S96">
        <f t="shared" si="13"/>
        <v>2023</v>
      </c>
    </row>
    <row r="97" spans="1:19" x14ac:dyDescent="0.25">
      <c r="A97">
        <v>100095</v>
      </c>
      <c r="B97" s="1">
        <v>45528</v>
      </c>
      <c r="C97" t="s">
        <v>11</v>
      </c>
      <c r="D97" t="s">
        <v>130</v>
      </c>
      <c r="E97" t="s">
        <v>259</v>
      </c>
      <c r="F97">
        <v>2</v>
      </c>
      <c r="G97">
        <v>1799.19</v>
      </c>
      <c r="H97">
        <v>25</v>
      </c>
      <c r="I97" t="str">
        <f>IF(Sales[[#This Row],[Discount]]&lt;=10,"0-10%",IF(Sales[[#This Row],[Discount]]&lt;=20,"10-20%","20-30%"))</f>
        <v>20-30%</v>
      </c>
      <c r="J97">
        <v>1175.7</v>
      </c>
      <c r="K97" t="s">
        <v>261</v>
      </c>
      <c r="L97" t="s">
        <v>263</v>
      </c>
      <c r="M97">
        <f t="shared" si="7"/>
        <v>2351.4</v>
      </c>
      <c r="N97">
        <f t="shared" si="8"/>
        <v>2698.7849999999999</v>
      </c>
      <c r="O97">
        <f t="shared" si="9"/>
        <v>347.38499999999976</v>
      </c>
      <c r="P97" s="2">
        <f t="shared" si="10"/>
        <v>0.12871903467671555</v>
      </c>
      <c r="Q97" t="str">
        <f t="shared" si="11"/>
        <v>Weekend</v>
      </c>
      <c r="R97" t="str">
        <f t="shared" si="12"/>
        <v>Aug</v>
      </c>
      <c r="S97">
        <f t="shared" si="13"/>
        <v>2024</v>
      </c>
    </row>
    <row r="98" spans="1:19" x14ac:dyDescent="0.25">
      <c r="A98">
        <v>100096</v>
      </c>
      <c r="B98" s="1">
        <v>45427</v>
      </c>
      <c r="C98" t="s">
        <v>47</v>
      </c>
      <c r="D98" t="s">
        <v>131</v>
      </c>
      <c r="E98" t="s">
        <v>259</v>
      </c>
      <c r="F98">
        <v>3</v>
      </c>
      <c r="G98">
        <v>1624.72</v>
      </c>
      <c r="H98">
        <v>20</v>
      </c>
      <c r="I98" t="str">
        <f>IF(Sales[[#This Row],[Discount]]&lt;=10,"0-10%",IF(Sales[[#This Row],[Discount]]&lt;=20,"10-20%","20-30%"))</f>
        <v>10-20%</v>
      </c>
      <c r="J98">
        <v>707.48</v>
      </c>
      <c r="K98" t="s">
        <v>268</v>
      </c>
      <c r="L98" t="s">
        <v>267</v>
      </c>
      <c r="M98">
        <f t="shared" si="7"/>
        <v>2122.44</v>
      </c>
      <c r="N98">
        <f t="shared" si="8"/>
        <v>3899.328</v>
      </c>
      <c r="O98">
        <f t="shared" si="9"/>
        <v>1776.8879999999999</v>
      </c>
      <c r="P98" s="2">
        <f t="shared" si="10"/>
        <v>0.45569082672706679</v>
      </c>
      <c r="Q98" t="str">
        <f t="shared" si="11"/>
        <v>Weekday</v>
      </c>
      <c r="R98" t="str">
        <f t="shared" si="12"/>
        <v>May</v>
      </c>
      <c r="S98">
        <f t="shared" si="13"/>
        <v>2024</v>
      </c>
    </row>
    <row r="99" spans="1:19" x14ac:dyDescent="0.25">
      <c r="A99">
        <v>100097</v>
      </c>
      <c r="B99" s="1">
        <v>45655</v>
      </c>
      <c r="C99" t="s">
        <v>50</v>
      </c>
      <c r="D99" t="s">
        <v>132</v>
      </c>
      <c r="E99" t="s">
        <v>257</v>
      </c>
      <c r="F99">
        <v>1</v>
      </c>
      <c r="G99">
        <v>4702.25</v>
      </c>
      <c r="H99">
        <v>25</v>
      </c>
      <c r="I99" t="str">
        <f>IF(Sales[[#This Row],[Discount]]&lt;=10,"0-10%",IF(Sales[[#This Row],[Discount]]&lt;=20,"10-20%","20-30%"))</f>
        <v>20-30%</v>
      </c>
      <c r="J99">
        <v>1936.18</v>
      </c>
      <c r="K99" t="s">
        <v>261</v>
      </c>
      <c r="L99" t="s">
        <v>267</v>
      </c>
      <c r="M99">
        <f t="shared" si="7"/>
        <v>1936.18</v>
      </c>
      <c r="N99">
        <f t="shared" si="8"/>
        <v>3526.6875</v>
      </c>
      <c r="O99">
        <f t="shared" si="9"/>
        <v>1590.5074999999999</v>
      </c>
      <c r="P99" s="2">
        <f t="shared" si="10"/>
        <v>0.45099190104028214</v>
      </c>
      <c r="Q99" t="str">
        <f t="shared" si="11"/>
        <v>Weekend</v>
      </c>
      <c r="R99" t="str">
        <f t="shared" si="12"/>
        <v>Dec</v>
      </c>
      <c r="S99">
        <f t="shared" si="13"/>
        <v>2024</v>
      </c>
    </row>
    <row r="100" spans="1:19" x14ac:dyDescent="0.25">
      <c r="A100">
        <v>100098</v>
      </c>
      <c r="B100" s="1">
        <v>45383</v>
      </c>
      <c r="C100" t="s">
        <v>21</v>
      </c>
      <c r="D100" t="s">
        <v>133</v>
      </c>
      <c r="E100" t="s">
        <v>260</v>
      </c>
      <c r="F100">
        <v>1</v>
      </c>
      <c r="G100">
        <v>1625.56</v>
      </c>
      <c r="H100">
        <v>5</v>
      </c>
      <c r="I100" t="str">
        <f>IF(Sales[[#This Row],[Discount]]&lt;=10,"0-10%",IF(Sales[[#This Row],[Discount]]&lt;=20,"10-20%","20-30%"))</f>
        <v>0-10%</v>
      </c>
      <c r="J100">
        <v>736.76</v>
      </c>
      <c r="K100" t="s">
        <v>262</v>
      </c>
      <c r="L100" t="s">
        <v>266</v>
      </c>
      <c r="M100">
        <f t="shared" si="7"/>
        <v>736.76</v>
      </c>
      <c r="N100">
        <f t="shared" si="8"/>
        <v>1544.2819999999999</v>
      </c>
      <c r="O100">
        <f t="shared" si="9"/>
        <v>807.52199999999993</v>
      </c>
      <c r="P100" s="2">
        <f t="shared" si="10"/>
        <v>0.52291097092370431</v>
      </c>
      <c r="Q100" t="str">
        <f t="shared" si="11"/>
        <v>Weekday</v>
      </c>
      <c r="R100" t="str">
        <f t="shared" si="12"/>
        <v>Apr</v>
      </c>
      <c r="S100">
        <f t="shared" si="13"/>
        <v>2024</v>
      </c>
    </row>
    <row r="101" spans="1:19" x14ac:dyDescent="0.25">
      <c r="A101">
        <v>100099</v>
      </c>
      <c r="B101" s="1">
        <v>45474</v>
      </c>
      <c r="C101" t="s">
        <v>51</v>
      </c>
      <c r="D101" t="s">
        <v>134</v>
      </c>
      <c r="E101" t="s">
        <v>255</v>
      </c>
      <c r="F101">
        <v>4</v>
      </c>
      <c r="G101">
        <v>3006.85</v>
      </c>
      <c r="H101">
        <v>0</v>
      </c>
      <c r="I101" t="str">
        <f>IF(Sales[[#This Row],[Discount]]&lt;=10,"0-10%",IF(Sales[[#This Row],[Discount]]&lt;=20,"10-20%","20-30%"))</f>
        <v>0-10%</v>
      </c>
      <c r="J101">
        <v>1862.73</v>
      </c>
      <c r="K101" t="s">
        <v>262</v>
      </c>
      <c r="L101" t="s">
        <v>264</v>
      </c>
      <c r="M101">
        <f t="shared" si="7"/>
        <v>7450.92</v>
      </c>
      <c r="N101">
        <f t="shared" si="8"/>
        <v>12027.4</v>
      </c>
      <c r="O101">
        <f t="shared" si="9"/>
        <v>4576.4799999999996</v>
      </c>
      <c r="P101" s="2">
        <f t="shared" si="10"/>
        <v>0.38050451469145447</v>
      </c>
      <c r="Q101" t="str">
        <f t="shared" si="11"/>
        <v>Weekday</v>
      </c>
      <c r="R101" t="str">
        <f t="shared" si="12"/>
        <v>Jul</v>
      </c>
      <c r="S101">
        <f t="shared" si="13"/>
        <v>2024</v>
      </c>
    </row>
    <row r="102" spans="1:19" x14ac:dyDescent="0.25">
      <c r="A102">
        <v>100100</v>
      </c>
      <c r="B102" s="1">
        <v>45295</v>
      </c>
      <c r="C102" t="s">
        <v>32</v>
      </c>
      <c r="D102" t="s">
        <v>135</v>
      </c>
      <c r="E102" t="s">
        <v>255</v>
      </c>
      <c r="F102">
        <v>4</v>
      </c>
      <c r="G102">
        <v>4375.45</v>
      </c>
      <c r="H102">
        <v>15</v>
      </c>
      <c r="I102" t="str">
        <f>IF(Sales[[#This Row],[Discount]]&lt;=10,"0-10%",IF(Sales[[#This Row],[Discount]]&lt;=20,"10-20%","20-30%"))</f>
        <v>10-20%</v>
      </c>
      <c r="J102">
        <v>2487.71</v>
      </c>
      <c r="K102" t="s">
        <v>262</v>
      </c>
      <c r="L102" t="s">
        <v>266</v>
      </c>
      <c r="M102">
        <f t="shared" si="7"/>
        <v>9950.84</v>
      </c>
      <c r="N102">
        <f t="shared" si="8"/>
        <v>14876.529999999999</v>
      </c>
      <c r="O102">
        <f t="shared" si="9"/>
        <v>4925.6899999999987</v>
      </c>
      <c r="P102" s="2">
        <f t="shared" si="10"/>
        <v>0.3311047670390877</v>
      </c>
      <c r="Q102" t="str">
        <f t="shared" si="11"/>
        <v>Weekday</v>
      </c>
      <c r="R102" t="str">
        <f t="shared" si="12"/>
        <v>Jan</v>
      </c>
      <c r="S102">
        <f t="shared" si="13"/>
        <v>2024</v>
      </c>
    </row>
    <row r="103" spans="1:19" x14ac:dyDescent="0.25">
      <c r="A103">
        <v>100101</v>
      </c>
      <c r="B103" s="1">
        <v>45199</v>
      </c>
      <c r="C103" t="s">
        <v>23</v>
      </c>
      <c r="D103" t="s">
        <v>90</v>
      </c>
      <c r="E103" t="s">
        <v>257</v>
      </c>
      <c r="F103">
        <v>1</v>
      </c>
      <c r="G103">
        <v>3777.57</v>
      </c>
      <c r="H103">
        <v>25</v>
      </c>
      <c r="I103" t="str">
        <f>IF(Sales[[#This Row],[Discount]]&lt;=10,"0-10%",IF(Sales[[#This Row],[Discount]]&lt;=20,"10-20%","20-30%"))</f>
        <v>20-30%</v>
      </c>
      <c r="J103">
        <v>1781.01</v>
      </c>
      <c r="K103" t="s">
        <v>262</v>
      </c>
      <c r="L103" t="s">
        <v>266</v>
      </c>
      <c r="M103">
        <f t="shared" si="7"/>
        <v>1781.01</v>
      </c>
      <c r="N103">
        <f t="shared" si="8"/>
        <v>2833.1775000000002</v>
      </c>
      <c r="O103">
        <f t="shared" si="9"/>
        <v>1052.1675000000002</v>
      </c>
      <c r="P103" s="2">
        <f t="shared" si="10"/>
        <v>0.37137366084546419</v>
      </c>
      <c r="Q103" t="str">
        <f t="shared" si="11"/>
        <v>Weekend</v>
      </c>
      <c r="R103" t="str">
        <f t="shared" si="12"/>
        <v>Sep</v>
      </c>
      <c r="S103">
        <f t="shared" si="13"/>
        <v>2023</v>
      </c>
    </row>
    <row r="104" spans="1:19" x14ac:dyDescent="0.25">
      <c r="A104">
        <v>100102</v>
      </c>
      <c r="B104" s="1">
        <v>45323</v>
      </c>
      <c r="C104" t="s">
        <v>23</v>
      </c>
      <c r="D104" t="s">
        <v>94</v>
      </c>
      <c r="E104" t="s">
        <v>255</v>
      </c>
      <c r="F104">
        <v>2</v>
      </c>
      <c r="G104">
        <v>2633.84</v>
      </c>
      <c r="H104">
        <v>20</v>
      </c>
      <c r="I104" t="str">
        <f>IF(Sales[[#This Row],[Discount]]&lt;=10,"0-10%",IF(Sales[[#This Row],[Discount]]&lt;=20,"10-20%","20-30%"))</f>
        <v>10-20%</v>
      </c>
      <c r="J104">
        <v>1361.39</v>
      </c>
      <c r="K104" t="s">
        <v>261</v>
      </c>
      <c r="L104" t="s">
        <v>267</v>
      </c>
      <c r="M104">
        <f t="shared" si="7"/>
        <v>2722.78</v>
      </c>
      <c r="N104">
        <f t="shared" si="8"/>
        <v>4214.1440000000002</v>
      </c>
      <c r="O104">
        <f t="shared" si="9"/>
        <v>1491.364</v>
      </c>
      <c r="P104" s="2">
        <f t="shared" si="10"/>
        <v>0.35389488351608295</v>
      </c>
      <c r="Q104" t="str">
        <f t="shared" si="11"/>
        <v>Weekday</v>
      </c>
      <c r="R104" t="str">
        <f t="shared" si="12"/>
        <v>Feb</v>
      </c>
      <c r="S104">
        <f t="shared" si="13"/>
        <v>2024</v>
      </c>
    </row>
    <row r="105" spans="1:19" x14ac:dyDescent="0.25">
      <c r="A105">
        <v>100103</v>
      </c>
      <c r="B105" s="1">
        <v>45159</v>
      </c>
      <c r="C105" t="s">
        <v>15</v>
      </c>
      <c r="D105" t="s">
        <v>136</v>
      </c>
      <c r="E105" t="s">
        <v>256</v>
      </c>
      <c r="F105">
        <v>3</v>
      </c>
      <c r="G105">
        <v>2129.25</v>
      </c>
      <c r="H105">
        <v>20</v>
      </c>
      <c r="I105" t="str">
        <f>IF(Sales[[#This Row],[Discount]]&lt;=10,"0-10%",IF(Sales[[#This Row],[Discount]]&lt;=20,"10-20%","20-30%"))</f>
        <v>10-20%</v>
      </c>
      <c r="J105">
        <v>858.62</v>
      </c>
      <c r="K105" t="s">
        <v>262</v>
      </c>
      <c r="L105" t="s">
        <v>267</v>
      </c>
      <c r="M105">
        <f t="shared" si="7"/>
        <v>2575.86</v>
      </c>
      <c r="N105">
        <f t="shared" si="8"/>
        <v>5110.2000000000007</v>
      </c>
      <c r="O105">
        <f t="shared" si="9"/>
        <v>2534.3400000000006</v>
      </c>
      <c r="P105" s="2">
        <f t="shared" si="10"/>
        <v>0.49593753669132329</v>
      </c>
      <c r="Q105" t="str">
        <f t="shared" si="11"/>
        <v>Weekday</v>
      </c>
      <c r="R105" t="str">
        <f t="shared" si="12"/>
        <v>Aug</v>
      </c>
      <c r="S105">
        <f t="shared" si="13"/>
        <v>2023</v>
      </c>
    </row>
    <row r="106" spans="1:19" x14ac:dyDescent="0.25">
      <c r="A106">
        <v>100104</v>
      </c>
      <c r="B106" s="1">
        <v>45310</v>
      </c>
      <c r="C106" t="s">
        <v>28</v>
      </c>
      <c r="D106" t="s">
        <v>81</v>
      </c>
      <c r="E106" t="s">
        <v>254</v>
      </c>
      <c r="F106">
        <v>4</v>
      </c>
      <c r="G106">
        <v>1968.05</v>
      </c>
      <c r="H106">
        <v>30</v>
      </c>
      <c r="I106" t="str">
        <f>IF(Sales[[#This Row],[Discount]]&lt;=10,"0-10%",IF(Sales[[#This Row],[Discount]]&lt;=20,"10-20%","20-30%"))</f>
        <v>20-30%</v>
      </c>
      <c r="J106">
        <v>1352.13</v>
      </c>
      <c r="K106" t="s">
        <v>262</v>
      </c>
      <c r="L106" t="s">
        <v>264</v>
      </c>
      <c r="M106">
        <f t="shared" si="7"/>
        <v>5408.52</v>
      </c>
      <c r="N106">
        <f t="shared" si="8"/>
        <v>5510.54</v>
      </c>
      <c r="O106">
        <f t="shared" si="9"/>
        <v>102.01999999999953</v>
      </c>
      <c r="P106" s="2">
        <f t="shared" si="10"/>
        <v>1.851361209609213E-2</v>
      </c>
      <c r="Q106" t="str">
        <f t="shared" si="11"/>
        <v>Weekday</v>
      </c>
      <c r="R106" t="str">
        <f t="shared" si="12"/>
        <v>Jan</v>
      </c>
      <c r="S106">
        <f t="shared" si="13"/>
        <v>2024</v>
      </c>
    </row>
    <row r="107" spans="1:19" x14ac:dyDescent="0.25">
      <c r="A107">
        <v>100105</v>
      </c>
      <c r="B107" s="1">
        <v>44995</v>
      </c>
      <c r="C107" t="s">
        <v>30</v>
      </c>
      <c r="D107" t="s">
        <v>120</v>
      </c>
      <c r="E107" t="s">
        <v>260</v>
      </c>
      <c r="F107">
        <v>3</v>
      </c>
      <c r="G107">
        <v>2617.2199999999998</v>
      </c>
      <c r="H107">
        <v>20</v>
      </c>
      <c r="I107" t="str">
        <f>IF(Sales[[#This Row],[Discount]]&lt;=10,"0-10%",IF(Sales[[#This Row],[Discount]]&lt;=20,"10-20%","20-30%"))</f>
        <v>10-20%</v>
      </c>
      <c r="J107">
        <v>1112.28</v>
      </c>
      <c r="K107" t="s">
        <v>262</v>
      </c>
      <c r="L107" t="s">
        <v>266</v>
      </c>
      <c r="M107">
        <f t="shared" si="7"/>
        <v>3336.84</v>
      </c>
      <c r="N107">
        <f t="shared" si="8"/>
        <v>6281.3280000000004</v>
      </c>
      <c r="O107">
        <f t="shared" si="9"/>
        <v>2944.4880000000003</v>
      </c>
      <c r="P107" s="2">
        <f t="shared" si="10"/>
        <v>0.46876838783136304</v>
      </c>
      <c r="Q107" t="str">
        <f t="shared" si="11"/>
        <v>Weekday</v>
      </c>
      <c r="R107" t="str">
        <f t="shared" si="12"/>
        <v>Mar</v>
      </c>
      <c r="S107">
        <f t="shared" si="13"/>
        <v>2023</v>
      </c>
    </row>
    <row r="108" spans="1:19" x14ac:dyDescent="0.25">
      <c r="A108">
        <v>100106</v>
      </c>
      <c r="B108" s="1">
        <v>45410</v>
      </c>
      <c r="C108" t="s">
        <v>14</v>
      </c>
      <c r="D108" t="s">
        <v>63</v>
      </c>
      <c r="E108" t="s">
        <v>255</v>
      </c>
      <c r="F108">
        <v>4</v>
      </c>
      <c r="G108">
        <v>1844.72</v>
      </c>
      <c r="H108">
        <v>20</v>
      </c>
      <c r="I108" t="str">
        <f>IF(Sales[[#This Row],[Discount]]&lt;=10,"0-10%",IF(Sales[[#This Row],[Discount]]&lt;=20,"10-20%","20-30%"))</f>
        <v>10-20%</v>
      </c>
      <c r="J108">
        <v>1110.07</v>
      </c>
      <c r="K108" t="s">
        <v>268</v>
      </c>
      <c r="L108" t="s">
        <v>264</v>
      </c>
      <c r="M108">
        <f t="shared" si="7"/>
        <v>4440.28</v>
      </c>
      <c r="N108">
        <f t="shared" si="8"/>
        <v>5903.1040000000003</v>
      </c>
      <c r="O108">
        <f t="shared" si="9"/>
        <v>1462.8240000000005</v>
      </c>
      <c r="P108" s="2">
        <f t="shared" si="10"/>
        <v>0.24780590008239742</v>
      </c>
      <c r="Q108" t="str">
        <f t="shared" si="11"/>
        <v>Weekend</v>
      </c>
      <c r="R108" t="str">
        <f t="shared" si="12"/>
        <v>Apr</v>
      </c>
      <c r="S108">
        <f t="shared" si="13"/>
        <v>2024</v>
      </c>
    </row>
    <row r="109" spans="1:19" x14ac:dyDescent="0.25">
      <c r="A109">
        <v>100107</v>
      </c>
      <c r="B109" s="1">
        <v>45619</v>
      </c>
      <c r="C109" t="s">
        <v>43</v>
      </c>
      <c r="D109" t="s">
        <v>137</v>
      </c>
      <c r="E109" t="s">
        <v>255</v>
      </c>
      <c r="F109">
        <v>3</v>
      </c>
      <c r="G109">
        <v>3972.09</v>
      </c>
      <c r="H109">
        <v>25</v>
      </c>
      <c r="I109" t="str">
        <f>IF(Sales[[#This Row],[Discount]]&lt;=10,"0-10%",IF(Sales[[#This Row],[Discount]]&lt;=20,"10-20%","20-30%"))</f>
        <v>20-30%</v>
      </c>
      <c r="J109">
        <v>1724.04</v>
      </c>
      <c r="K109" t="s">
        <v>261</v>
      </c>
      <c r="L109" t="s">
        <v>263</v>
      </c>
      <c r="M109">
        <f t="shared" si="7"/>
        <v>5172.12</v>
      </c>
      <c r="N109">
        <f t="shared" si="8"/>
        <v>8937.2024999999994</v>
      </c>
      <c r="O109">
        <f t="shared" si="9"/>
        <v>3765.0824999999995</v>
      </c>
      <c r="P109" s="2">
        <f t="shared" si="10"/>
        <v>0.42128199512095643</v>
      </c>
      <c r="Q109" t="str">
        <f t="shared" si="11"/>
        <v>Weekend</v>
      </c>
      <c r="R109" t="str">
        <f t="shared" si="12"/>
        <v>Nov</v>
      </c>
      <c r="S109">
        <f t="shared" si="13"/>
        <v>2024</v>
      </c>
    </row>
    <row r="110" spans="1:19" x14ac:dyDescent="0.25">
      <c r="A110">
        <v>100108</v>
      </c>
      <c r="B110" s="1">
        <v>45059</v>
      </c>
      <c r="C110" t="s">
        <v>31</v>
      </c>
      <c r="D110" t="s">
        <v>138</v>
      </c>
      <c r="E110" t="s">
        <v>256</v>
      </c>
      <c r="F110">
        <v>2</v>
      </c>
      <c r="G110">
        <v>570.53</v>
      </c>
      <c r="H110">
        <v>0</v>
      </c>
      <c r="I110" t="str">
        <f>IF(Sales[[#This Row],[Discount]]&lt;=10,"0-10%",IF(Sales[[#This Row],[Discount]]&lt;=20,"10-20%","20-30%"))</f>
        <v>0-10%</v>
      </c>
      <c r="J110">
        <v>322.27</v>
      </c>
      <c r="K110" t="s">
        <v>268</v>
      </c>
      <c r="L110" t="s">
        <v>265</v>
      </c>
      <c r="M110">
        <f t="shared" si="7"/>
        <v>644.54</v>
      </c>
      <c r="N110">
        <f t="shared" si="8"/>
        <v>1141.06</v>
      </c>
      <c r="O110">
        <f t="shared" si="9"/>
        <v>496.52</v>
      </c>
      <c r="P110" s="2">
        <f t="shared" si="10"/>
        <v>0.43513925648081608</v>
      </c>
      <c r="Q110" t="str">
        <f t="shared" si="11"/>
        <v>Weekend</v>
      </c>
      <c r="R110" t="str">
        <f t="shared" si="12"/>
        <v>May</v>
      </c>
      <c r="S110">
        <f t="shared" si="13"/>
        <v>2023</v>
      </c>
    </row>
    <row r="111" spans="1:19" x14ac:dyDescent="0.25">
      <c r="A111">
        <v>100109</v>
      </c>
      <c r="B111" s="1">
        <v>45514</v>
      </c>
      <c r="C111" t="s">
        <v>36</v>
      </c>
      <c r="D111" t="s">
        <v>99</v>
      </c>
      <c r="E111" t="s">
        <v>254</v>
      </c>
      <c r="F111">
        <v>3</v>
      </c>
      <c r="G111">
        <v>2865.8</v>
      </c>
      <c r="H111">
        <v>20</v>
      </c>
      <c r="I111" t="str">
        <f>IF(Sales[[#This Row],[Discount]]&lt;=10,"0-10%",IF(Sales[[#This Row],[Discount]]&lt;=20,"10-20%","20-30%"))</f>
        <v>10-20%</v>
      </c>
      <c r="J111">
        <v>1753.15</v>
      </c>
      <c r="K111" t="s">
        <v>268</v>
      </c>
      <c r="L111" t="s">
        <v>264</v>
      </c>
      <c r="M111">
        <f t="shared" si="7"/>
        <v>5259.4500000000007</v>
      </c>
      <c r="N111">
        <f t="shared" si="8"/>
        <v>6877.9200000000019</v>
      </c>
      <c r="O111">
        <f t="shared" si="9"/>
        <v>1618.4700000000012</v>
      </c>
      <c r="P111" s="2">
        <f t="shared" si="10"/>
        <v>0.23531387396189557</v>
      </c>
      <c r="Q111" t="str">
        <f t="shared" si="11"/>
        <v>Weekend</v>
      </c>
      <c r="R111" t="str">
        <f t="shared" si="12"/>
        <v>Aug</v>
      </c>
      <c r="S111">
        <f t="shared" si="13"/>
        <v>2024</v>
      </c>
    </row>
    <row r="112" spans="1:19" x14ac:dyDescent="0.25">
      <c r="A112">
        <v>100110</v>
      </c>
      <c r="B112" s="1">
        <v>45156</v>
      </c>
      <c r="C112" t="s">
        <v>19</v>
      </c>
      <c r="D112" t="s">
        <v>139</v>
      </c>
      <c r="E112" t="s">
        <v>257</v>
      </c>
      <c r="F112">
        <v>2</v>
      </c>
      <c r="G112">
        <v>4233.7299999999996</v>
      </c>
      <c r="H112">
        <v>25</v>
      </c>
      <c r="I112" t="str">
        <f>IF(Sales[[#This Row],[Discount]]&lt;=10,"0-10%",IF(Sales[[#This Row],[Discount]]&lt;=20,"10-20%","20-30%"))</f>
        <v>20-30%</v>
      </c>
      <c r="J112">
        <v>2794.52</v>
      </c>
      <c r="K112" t="s">
        <v>262</v>
      </c>
      <c r="L112" t="s">
        <v>266</v>
      </c>
      <c r="M112">
        <f t="shared" si="7"/>
        <v>5589.04</v>
      </c>
      <c r="N112">
        <f t="shared" si="8"/>
        <v>6350.5949999999993</v>
      </c>
      <c r="O112">
        <f t="shared" si="9"/>
        <v>761.55499999999938</v>
      </c>
      <c r="P112" s="2">
        <f t="shared" si="10"/>
        <v>0.11991868478465395</v>
      </c>
      <c r="Q112" t="str">
        <f t="shared" si="11"/>
        <v>Weekday</v>
      </c>
      <c r="R112" t="str">
        <f t="shared" si="12"/>
        <v>Aug</v>
      </c>
      <c r="S112">
        <f t="shared" si="13"/>
        <v>2023</v>
      </c>
    </row>
    <row r="113" spans="1:19" x14ac:dyDescent="0.25">
      <c r="A113">
        <v>100111</v>
      </c>
      <c r="B113" s="1">
        <v>45560</v>
      </c>
      <c r="C113" t="s">
        <v>52</v>
      </c>
      <c r="D113" t="s">
        <v>102</v>
      </c>
      <c r="E113" t="s">
        <v>256</v>
      </c>
      <c r="F113">
        <v>2</v>
      </c>
      <c r="G113">
        <v>3594.55</v>
      </c>
      <c r="H113">
        <v>15</v>
      </c>
      <c r="I113" t="str">
        <f>IF(Sales[[#This Row],[Discount]]&lt;=10,"0-10%",IF(Sales[[#This Row],[Discount]]&lt;=20,"10-20%","20-30%"))</f>
        <v>10-20%</v>
      </c>
      <c r="J113">
        <v>1516.29</v>
      </c>
      <c r="K113" t="s">
        <v>262</v>
      </c>
      <c r="L113" t="s">
        <v>265</v>
      </c>
      <c r="M113">
        <f t="shared" si="7"/>
        <v>3032.58</v>
      </c>
      <c r="N113">
        <f t="shared" si="8"/>
        <v>6110.7350000000006</v>
      </c>
      <c r="O113">
        <f t="shared" si="9"/>
        <v>3078.1550000000007</v>
      </c>
      <c r="P113" s="2">
        <f t="shared" si="10"/>
        <v>0.5037290931450964</v>
      </c>
      <c r="Q113" t="str">
        <f t="shared" si="11"/>
        <v>Weekday</v>
      </c>
      <c r="R113" t="str">
        <f t="shared" si="12"/>
        <v>Sep</v>
      </c>
      <c r="S113">
        <f t="shared" si="13"/>
        <v>2024</v>
      </c>
    </row>
    <row r="114" spans="1:19" x14ac:dyDescent="0.25">
      <c r="A114">
        <v>100112</v>
      </c>
      <c r="B114" s="1">
        <v>45574</v>
      </c>
      <c r="C114" t="s">
        <v>53</v>
      </c>
      <c r="D114" t="s">
        <v>140</v>
      </c>
      <c r="E114" t="s">
        <v>260</v>
      </c>
      <c r="F114">
        <v>1</v>
      </c>
      <c r="G114">
        <v>2712.63</v>
      </c>
      <c r="H114">
        <v>15</v>
      </c>
      <c r="I114" t="str">
        <f>IF(Sales[[#This Row],[Discount]]&lt;=10,"0-10%",IF(Sales[[#This Row],[Discount]]&lt;=20,"10-20%","20-30%"))</f>
        <v>10-20%</v>
      </c>
      <c r="J114">
        <v>1274.8499999999999</v>
      </c>
      <c r="K114" t="s">
        <v>262</v>
      </c>
      <c r="L114" t="s">
        <v>267</v>
      </c>
      <c r="M114">
        <f t="shared" si="7"/>
        <v>1274.8499999999999</v>
      </c>
      <c r="N114">
        <f t="shared" si="8"/>
        <v>2305.7355000000002</v>
      </c>
      <c r="O114">
        <f t="shared" si="9"/>
        <v>1030.8855000000003</v>
      </c>
      <c r="P114" s="2">
        <f t="shared" si="10"/>
        <v>0.44709616519327572</v>
      </c>
      <c r="Q114" t="str">
        <f t="shared" si="11"/>
        <v>Weekday</v>
      </c>
      <c r="R114" t="str">
        <f t="shared" si="12"/>
        <v>Oct</v>
      </c>
      <c r="S114">
        <f t="shared" si="13"/>
        <v>2024</v>
      </c>
    </row>
    <row r="115" spans="1:19" x14ac:dyDescent="0.25">
      <c r="A115">
        <v>100113</v>
      </c>
      <c r="B115" s="1">
        <v>45253</v>
      </c>
      <c r="C115" t="s">
        <v>33</v>
      </c>
      <c r="D115" t="s">
        <v>141</v>
      </c>
      <c r="E115" t="s">
        <v>260</v>
      </c>
      <c r="F115">
        <v>1</v>
      </c>
      <c r="G115">
        <v>4437.6899999999996</v>
      </c>
      <c r="H115">
        <v>30</v>
      </c>
      <c r="I115" t="str">
        <f>IF(Sales[[#This Row],[Discount]]&lt;=10,"0-10%",IF(Sales[[#This Row],[Discount]]&lt;=20,"10-20%","20-30%"))</f>
        <v>20-30%</v>
      </c>
      <c r="J115">
        <v>2090.1799999999998</v>
      </c>
      <c r="K115" t="s">
        <v>262</v>
      </c>
      <c r="L115" t="s">
        <v>267</v>
      </c>
      <c r="M115">
        <f t="shared" si="7"/>
        <v>2090.1799999999998</v>
      </c>
      <c r="N115">
        <f t="shared" si="8"/>
        <v>3106.3829999999994</v>
      </c>
      <c r="O115">
        <f t="shared" si="9"/>
        <v>1016.2029999999995</v>
      </c>
      <c r="P115" s="2">
        <f t="shared" si="10"/>
        <v>0.32713384022511061</v>
      </c>
      <c r="Q115" t="str">
        <f t="shared" si="11"/>
        <v>Weekday</v>
      </c>
      <c r="R115" t="str">
        <f t="shared" si="12"/>
        <v>Nov</v>
      </c>
      <c r="S115">
        <f t="shared" si="13"/>
        <v>2023</v>
      </c>
    </row>
    <row r="116" spans="1:19" x14ac:dyDescent="0.25">
      <c r="A116">
        <v>100114</v>
      </c>
      <c r="B116" s="1">
        <v>45371</v>
      </c>
      <c r="C116" t="s">
        <v>30</v>
      </c>
      <c r="D116" t="s">
        <v>67</v>
      </c>
      <c r="E116" t="s">
        <v>256</v>
      </c>
      <c r="F116">
        <v>4</v>
      </c>
      <c r="G116">
        <v>1946.03</v>
      </c>
      <c r="H116">
        <v>0</v>
      </c>
      <c r="I116" t="str">
        <f>IF(Sales[[#This Row],[Discount]]&lt;=10,"0-10%",IF(Sales[[#This Row],[Discount]]&lt;=20,"10-20%","20-30%"))</f>
        <v>0-10%</v>
      </c>
      <c r="J116">
        <v>1191.8499999999999</v>
      </c>
      <c r="K116" t="s">
        <v>262</v>
      </c>
      <c r="L116" t="s">
        <v>265</v>
      </c>
      <c r="M116">
        <f t="shared" si="7"/>
        <v>4767.3999999999996</v>
      </c>
      <c r="N116">
        <f t="shared" si="8"/>
        <v>7784.12</v>
      </c>
      <c r="O116">
        <f t="shared" si="9"/>
        <v>3016.7200000000003</v>
      </c>
      <c r="P116" s="2">
        <f t="shared" si="10"/>
        <v>0.38754798230243115</v>
      </c>
      <c r="Q116" t="str">
        <f t="shared" si="11"/>
        <v>Weekday</v>
      </c>
      <c r="R116" t="str">
        <f t="shared" si="12"/>
        <v>Mar</v>
      </c>
      <c r="S116">
        <f t="shared" si="13"/>
        <v>2024</v>
      </c>
    </row>
    <row r="117" spans="1:19" x14ac:dyDescent="0.25">
      <c r="A117">
        <v>100115</v>
      </c>
      <c r="B117" s="1">
        <v>45457</v>
      </c>
      <c r="C117" t="s">
        <v>34</v>
      </c>
      <c r="D117" t="s">
        <v>96</v>
      </c>
      <c r="E117" t="s">
        <v>255</v>
      </c>
      <c r="F117">
        <v>2</v>
      </c>
      <c r="G117">
        <v>3613.9</v>
      </c>
      <c r="H117">
        <v>5</v>
      </c>
      <c r="I117" t="str">
        <f>IF(Sales[[#This Row],[Discount]]&lt;=10,"0-10%",IF(Sales[[#This Row],[Discount]]&lt;=20,"10-20%","20-30%"))</f>
        <v>0-10%</v>
      </c>
      <c r="J117">
        <v>1715.22</v>
      </c>
      <c r="K117" t="s">
        <v>262</v>
      </c>
      <c r="L117" t="s">
        <v>263</v>
      </c>
      <c r="M117">
        <f t="shared" si="7"/>
        <v>3430.44</v>
      </c>
      <c r="N117">
        <f t="shared" si="8"/>
        <v>6866.41</v>
      </c>
      <c r="O117">
        <f t="shared" si="9"/>
        <v>3435.97</v>
      </c>
      <c r="P117" s="2">
        <f t="shared" si="10"/>
        <v>0.50040268495472884</v>
      </c>
      <c r="Q117" t="str">
        <f t="shared" si="11"/>
        <v>Weekday</v>
      </c>
      <c r="R117" t="str">
        <f t="shared" si="12"/>
        <v>Jun</v>
      </c>
      <c r="S117">
        <f t="shared" si="13"/>
        <v>2024</v>
      </c>
    </row>
    <row r="118" spans="1:19" x14ac:dyDescent="0.25">
      <c r="A118">
        <v>100116</v>
      </c>
      <c r="B118" s="1">
        <v>45146</v>
      </c>
      <c r="C118" t="s">
        <v>41</v>
      </c>
      <c r="D118" t="s">
        <v>142</v>
      </c>
      <c r="E118" t="s">
        <v>260</v>
      </c>
      <c r="F118">
        <v>2</v>
      </c>
      <c r="G118">
        <v>2615.34</v>
      </c>
      <c r="H118">
        <v>0</v>
      </c>
      <c r="I118" t="str">
        <f>IF(Sales[[#This Row],[Discount]]&lt;=10,"0-10%",IF(Sales[[#This Row],[Discount]]&lt;=20,"10-20%","20-30%"))</f>
        <v>0-10%</v>
      </c>
      <c r="J118">
        <v>1055.04</v>
      </c>
      <c r="K118" t="s">
        <v>262</v>
      </c>
      <c r="L118" t="s">
        <v>265</v>
      </c>
      <c r="M118">
        <f t="shared" si="7"/>
        <v>2110.08</v>
      </c>
      <c r="N118">
        <f t="shared" si="8"/>
        <v>5230.68</v>
      </c>
      <c r="O118">
        <f t="shared" si="9"/>
        <v>3120.6000000000004</v>
      </c>
      <c r="P118" s="2">
        <f t="shared" si="10"/>
        <v>0.59659547133451107</v>
      </c>
      <c r="Q118" t="str">
        <f t="shared" si="11"/>
        <v>Weekday</v>
      </c>
      <c r="R118" t="str">
        <f t="shared" si="12"/>
        <v>Aug</v>
      </c>
      <c r="S118">
        <f t="shared" si="13"/>
        <v>2023</v>
      </c>
    </row>
    <row r="119" spans="1:19" x14ac:dyDescent="0.25">
      <c r="A119">
        <v>100117</v>
      </c>
      <c r="B119" s="1">
        <v>45287</v>
      </c>
      <c r="C119" t="s">
        <v>12</v>
      </c>
      <c r="D119" t="s">
        <v>143</v>
      </c>
      <c r="E119" t="s">
        <v>257</v>
      </c>
      <c r="F119">
        <v>2</v>
      </c>
      <c r="G119">
        <v>3782.58</v>
      </c>
      <c r="H119">
        <v>0</v>
      </c>
      <c r="I119" t="str">
        <f>IF(Sales[[#This Row],[Discount]]&lt;=10,"0-10%",IF(Sales[[#This Row],[Discount]]&lt;=20,"10-20%","20-30%"))</f>
        <v>0-10%</v>
      </c>
      <c r="J119">
        <v>2383.62</v>
      </c>
      <c r="K119" t="s">
        <v>261</v>
      </c>
      <c r="L119" t="s">
        <v>264</v>
      </c>
      <c r="M119">
        <f t="shared" si="7"/>
        <v>4767.24</v>
      </c>
      <c r="N119">
        <f t="shared" si="8"/>
        <v>7565.16</v>
      </c>
      <c r="O119">
        <f t="shared" si="9"/>
        <v>2797.92</v>
      </c>
      <c r="P119" s="2">
        <f t="shared" si="10"/>
        <v>0.36984280570404326</v>
      </c>
      <c r="Q119" t="str">
        <f t="shared" si="11"/>
        <v>Weekday</v>
      </c>
      <c r="R119" t="str">
        <f t="shared" si="12"/>
        <v>Dec</v>
      </c>
      <c r="S119">
        <f t="shared" si="13"/>
        <v>2023</v>
      </c>
    </row>
    <row r="120" spans="1:19" x14ac:dyDescent="0.25">
      <c r="A120">
        <v>100118</v>
      </c>
      <c r="B120" s="1">
        <v>45431</v>
      </c>
      <c r="C120" t="s">
        <v>17</v>
      </c>
      <c r="D120" t="s">
        <v>115</v>
      </c>
      <c r="E120" t="s">
        <v>255</v>
      </c>
      <c r="F120">
        <v>1</v>
      </c>
      <c r="G120">
        <v>3500.89</v>
      </c>
      <c r="H120">
        <v>25</v>
      </c>
      <c r="I120" t="str">
        <f>IF(Sales[[#This Row],[Discount]]&lt;=10,"0-10%",IF(Sales[[#This Row],[Discount]]&lt;=20,"10-20%","20-30%"))</f>
        <v>20-30%</v>
      </c>
      <c r="J120">
        <v>1649.8</v>
      </c>
      <c r="K120" t="s">
        <v>268</v>
      </c>
      <c r="L120" t="s">
        <v>264</v>
      </c>
      <c r="M120">
        <f t="shared" si="7"/>
        <v>1649.8</v>
      </c>
      <c r="N120">
        <f t="shared" si="8"/>
        <v>2625.6675</v>
      </c>
      <c r="O120">
        <f t="shared" si="9"/>
        <v>975.86750000000006</v>
      </c>
      <c r="P120" s="2">
        <f t="shared" si="10"/>
        <v>0.37166453863636584</v>
      </c>
      <c r="Q120" t="str">
        <f t="shared" si="11"/>
        <v>Weekend</v>
      </c>
      <c r="R120" t="str">
        <f t="shared" si="12"/>
        <v>May</v>
      </c>
      <c r="S120">
        <f t="shared" si="13"/>
        <v>2024</v>
      </c>
    </row>
    <row r="121" spans="1:19" x14ac:dyDescent="0.25">
      <c r="A121">
        <v>100119</v>
      </c>
      <c r="B121" s="1">
        <v>45043</v>
      </c>
      <c r="C121" t="s">
        <v>15</v>
      </c>
      <c r="D121" t="s">
        <v>144</v>
      </c>
      <c r="E121" t="s">
        <v>255</v>
      </c>
      <c r="F121">
        <v>4</v>
      </c>
      <c r="G121">
        <v>1642.85</v>
      </c>
      <c r="H121">
        <v>30</v>
      </c>
      <c r="I121" t="str">
        <f>IF(Sales[[#This Row],[Discount]]&lt;=10,"0-10%",IF(Sales[[#This Row],[Discount]]&lt;=20,"10-20%","20-30%"))</f>
        <v>20-30%</v>
      </c>
      <c r="J121">
        <v>1085.23</v>
      </c>
      <c r="K121" t="s">
        <v>262</v>
      </c>
      <c r="L121" t="s">
        <v>267</v>
      </c>
      <c r="M121">
        <f t="shared" si="7"/>
        <v>4340.92</v>
      </c>
      <c r="N121">
        <f t="shared" si="8"/>
        <v>4599.9799999999996</v>
      </c>
      <c r="O121">
        <f t="shared" si="9"/>
        <v>259.05999999999949</v>
      </c>
      <c r="P121" s="2">
        <f t="shared" si="10"/>
        <v>5.6317636163635387E-2</v>
      </c>
      <c r="Q121" t="str">
        <f t="shared" si="11"/>
        <v>Weekday</v>
      </c>
      <c r="R121" t="str">
        <f t="shared" si="12"/>
        <v>Apr</v>
      </c>
      <c r="S121">
        <f t="shared" si="13"/>
        <v>2023</v>
      </c>
    </row>
    <row r="122" spans="1:19" x14ac:dyDescent="0.25">
      <c r="A122">
        <v>100120</v>
      </c>
      <c r="B122" s="1">
        <v>45075</v>
      </c>
      <c r="C122" t="s">
        <v>46</v>
      </c>
      <c r="D122" t="s">
        <v>145</v>
      </c>
      <c r="E122" t="s">
        <v>257</v>
      </c>
      <c r="F122">
        <v>2</v>
      </c>
      <c r="G122">
        <v>357.13</v>
      </c>
      <c r="H122">
        <v>0</v>
      </c>
      <c r="I122" t="str">
        <f>IF(Sales[[#This Row],[Discount]]&lt;=10,"0-10%",IF(Sales[[#This Row],[Discount]]&lt;=20,"10-20%","20-30%"))</f>
        <v>0-10%</v>
      </c>
      <c r="J122">
        <v>246.76</v>
      </c>
      <c r="K122" t="s">
        <v>262</v>
      </c>
      <c r="L122" t="s">
        <v>266</v>
      </c>
      <c r="M122">
        <f t="shared" si="7"/>
        <v>493.52</v>
      </c>
      <c r="N122">
        <f t="shared" si="8"/>
        <v>714.26</v>
      </c>
      <c r="O122">
        <f t="shared" si="9"/>
        <v>220.74</v>
      </c>
      <c r="P122" s="2">
        <f t="shared" si="10"/>
        <v>0.30904712569652509</v>
      </c>
      <c r="Q122" t="str">
        <f t="shared" si="11"/>
        <v>Weekday</v>
      </c>
      <c r="R122" t="str">
        <f t="shared" si="12"/>
        <v>May</v>
      </c>
      <c r="S122">
        <f t="shared" si="13"/>
        <v>2023</v>
      </c>
    </row>
    <row r="123" spans="1:19" x14ac:dyDescent="0.25">
      <c r="A123">
        <v>100121</v>
      </c>
      <c r="B123" s="1">
        <v>45602</v>
      </c>
      <c r="C123" t="s">
        <v>33</v>
      </c>
      <c r="D123" t="s">
        <v>136</v>
      </c>
      <c r="E123" t="s">
        <v>256</v>
      </c>
      <c r="F123">
        <v>2</v>
      </c>
      <c r="G123">
        <v>4645.82</v>
      </c>
      <c r="H123">
        <v>0</v>
      </c>
      <c r="I123" t="str">
        <f>IF(Sales[[#This Row],[Discount]]&lt;=10,"0-10%",IF(Sales[[#This Row],[Discount]]&lt;=20,"10-20%","20-30%"))</f>
        <v>0-10%</v>
      </c>
      <c r="J123">
        <v>3139.34</v>
      </c>
      <c r="K123" t="s">
        <v>261</v>
      </c>
      <c r="L123" t="s">
        <v>267</v>
      </c>
      <c r="M123">
        <f t="shared" si="7"/>
        <v>6278.68</v>
      </c>
      <c r="N123">
        <f t="shared" si="8"/>
        <v>9291.64</v>
      </c>
      <c r="O123">
        <f t="shared" si="9"/>
        <v>3012.9599999999991</v>
      </c>
      <c r="P123" s="2">
        <f t="shared" si="10"/>
        <v>0.32426568399120059</v>
      </c>
      <c r="Q123" t="str">
        <f t="shared" si="11"/>
        <v>Weekday</v>
      </c>
      <c r="R123" t="str">
        <f t="shared" si="12"/>
        <v>Nov</v>
      </c>
      <c r="S123">
        <f t="shared" si="13"/>
        <v>2024</v>
      </c>
    </row>
    <row r="124" spans="1:19" x14ac:dyDescent="0.25">
      <c r="A124">
        <v>100122</v>
      </c>
      <c r="B124" s="1">
        <v>45231</v>
      </c>
      <c r="C124" t="s">
        <v>51</v>
      </c>
      <c r="D124" t="s">
        <v>146</v>
      </c>
      <c r="E124" t="s">
        <v>258</v>
      </c>
      <c r="F124">
        <v>4</v>
      </c>
      <c r="G124">
        <v>654.54</v>
      </c>
      <c r="H124">
        <v>5</v>
      </c>
      <c r="I124" t="str">
        <f>IF(Sales[[#This Row],[Discount]]&lt;=10,"0-10%",IF(Sales[[#This Row],[Discount]]&lt;=20,"10-20%","20-30%"))</f>
        <v>0-10%</v>
      </c>
      <c r="J124">
        <v>294.45</v>
      </c>
      <c r="K124" t="s">
        <v>262</v>
      </c>
      <c r="L124" t="s">
        <v>266</v>
      </c>
      <c r="M124">
        <f t="shared" si="7"/>
        <v>1177.8</v>
      </c>
      <c r="N124">
        <f t="shared" si="8"/>
        <v>2487.252</v>
      </c>
      <c r="O124">
        <f t="shared" si="9"/>
        <v>1309.452</v>
      </c>
      <c r="P124" s="2">
        <f t="shared" si="10"/>
        <v>0.52646535212354839</v>
      </c>
      <c r="Q124" t="str">
        <f t="shared" si="11"/>
        <v>Weekday</v>
      </c>
      <c r="R124" t="str">
        <f t="shared" si="12"/>
        <v>Nov</v>
      </c>
      <c r="S124">
        <f t="shared" si="13"/>
        <v>2023</v>
      </c>
    </row>
    <row r="125" spans="1:19" x14ac:dyDescent="0.25">
      <c r="A125">
        <v>100123</v>
      </c>
      <c r="B125" s="1">
        <v>45185</v>
      </c>
      <c r="C125" t="s">
        <v>29</v>
      </c>
      <c r="D125" t="s">
        <v>98</v>
      </c>
      <c r="E125" t="s">
        <v>260</v>
      </c>
      <c r="F125">
        <v>3</v>
      </c>
      <c r="G125">
        <v>2436.34</v>
      </c>
      <c r="H125">
        <v>25</v>
      </c>
      <c r="I125" t="str">
        <f>IF(Sales[[#This Row],[Discount]]&lt;=10,"0-10%",IF(Sales[[#This Row],[Discount]]&lt;=20,"10-20%","20-30%"))</f>
        <v>20-30%</v>
      </c>
      <c r="J125">
        <v>1433.22</v>
      </c>
      <c r="K125" t="s">
        <v>262</v>
      </c>
      <c r="L125" t="s">
        <v>263</v>
      </c>
      <c r="M125">
        <f t="shared" si="7"/>
        <v>4299.66</v>
      </c>
      <c r="N125">
        <f t="shared" si="8"/>
        <v>5481.7650000000003</v>
      </c>
      <c r="O125">
        <f t="shared" si="9"/>
        <v>1182.1050000000005</v>
      </c>
      <c r="P125" s="2">
        <f t="shared" si="10"/>
        <v>0.21564313683640221</v>
      </c>
      <c r="Q125" t="str">
        <f t="shared" si="11"/>
        <v>Weekend</v>
      </c>
      <c r="R125" t="str">
        <f t="shared" si="12"/>
        <v>Sep</v>
      </c>
      <c r="S125">
        <f t="shared" si="13"/>
        <v>2023</v>
      </c>
    </row>
    <row r="126" spans="1:19" x14ac:dyDescent="0.25">
      <c r="A126">
        <v>100124</v>
      </c>
      <c r="B126" s="1">
        <v>45284</v>
      </c>
      <c r="C126" t="s">
        <v>16</v>
      </c>
      <c r="D126" t="s">
        <v>133</v>
      </c>
      <c r="E126" t="s">
        <v>255</v>
      </c>
      <c r="F126">
        <v>3</v>
      </c>
      <c r="G126">
        <v>513.6</v>
      </c>
      <c r="H126">
        <v>10</v>
      </c>
      <c r="I126" t="str">
        <f>IF(Sales[[#This Row],[Discount]]&lt;=10,"0-10%",IF(Sales[[#This Row],[Discount]]&lt;=20,"10-20%","20-30%"))</f>
        <v>0-10%</v>
      </c>
      <c r="J126">
        <v>248.73</v>
      </c>
      <c r="K126" t="s">
        <v>268</v>
      </c>
      <c r="L126" t="s">
        <v>263</v>
      </c>
      <c r="M126">
        <f t="shared" si="7"/>
        <v>746.18999999999994</v>
      </c>
      <c r="N126">
        <f t="shared" si="8"/>
        <v>1386.7200000000003</v>
      </c>
      <c r="O126">
        <f t="shared" si="9"/>
        <v>640.53000000000031</v>
      </c>
      <c r="P126" s="2">
        <f t="shared" si="10"/>
        <v>0.46190290758047781</v>
      </c>
      <c r="Q126" t="str">
        <f t="shared" si="11"/>
        <v>Weekend</v>
      </c>
      <c r="R126" t="str">
        <f t="shared" si="12"/>
        <v>Dec</v>
      </c>
      <c r="S126">
        <f t="shared" si="13"/>
        <v>2023</v>
      </c>
    </row>
    <row r="127" spans="1:19" x14ac:dyDescent="0.25">
      <c r="A127">
        <v>100125</v>
      </c>
      <c r="B127" s="1">
        <v>45602</v>
      </c>
      <c r="C127" t="s">
        <v>39</v>
      </c>
      <c r="D127" t="s">
        <v>147</v>
      </c>
      <c r="E127" t="s">
        <v>255</v>
      </c>
      <c r="F127">
        <v>4</v>
      </c>
      <c r="G127">
        <v>1877.6</v>
      </c>
      <c r="H127">
        <v>15</v>
      </c>
      <c r="I127" t="str">
        <f>IF(Sales[[#This Row],[Discount]]&lt;=10,"0-10%",IF(Sales[[#This Row],[Discount]]&lt;=20,"10-20%","20-30%"))</f>
        <v>10-20%</v>
      </c>
      <c r="J127">
        <v>846.62</v>
      </c>
      <c r="K127" t="s">
        <v>261</v>
      </c>
      <c r="L127" t="s">
        <v>266</v>
      </c>
      <c r="M127">
        <f t="shared" si="7"/>
        <v>3386.48</v>
      </c>
      <c r="N127">
        <f t="shared" si="8"/>
        <v>6383.8399999999992</v>
      </c>
      <c r="O127">
        <f t="shared" si="9"/>
        <v>2997.3599999999992</v>
      </c>
      <c r="P127" s="2">
        <f t="shared" si="10"/>
        <v>0.46952304569036812</v>
      </c>
      <c r="Q127" t="str">
        <f t="shared" si="11"/>
        <v>Weekday</v>
      </c>
      <c r="R127" t="str">
        <f t="shared" si="12"/>
        <v>Nov</v>
      </c>
      <c r="S127">
        <f t="shared" si="13"/>
        <v>2024</v>
      </c>
    </row>
    <row r="128" spans="1:19" x14ac:dyDescent="0.25">
      <c r="A128">
        <v>100126</v>
      </c>
      <c r="B128" s="1">
        <v>44967</v>
      </c>
      <c r="C128" t="s">
        <v>54</v>
      </c>
      <c r="D128" t="s">
        <v>64</v>
      </c>
      <c r="E128" t="s">
        <v>259</v>
      </c>
      <c r="F128">
        <v>4</v>
      </c>
      <c r="G128">
        <v>1960.76</v>
      </c>
      <c r="H128">
        <v>0</v>
      </c>
      <c r="I128" t="str">
        <f>IF(Sales[[#This Row],[Discount]]&lt;=10,"0-10%",IF(Sales[[#This Row],[Discount]]&lt;=20,"10-20%","20-30%"))</f>
        <v>0-10%</v>
      </c>
      <c r="J128">
        <v>1127.6300000000001</v>
      </c>
      <c r="K128" t="s">
        <v>262</v>
      </c>
      <c r="L128" t="s">
        <v>267</v>
      </c>
      <c r="M128">
        <f t="shared" si="7"/>
        <v>4510.5200000000004</v>
      </c>
      <c r="N128">
        <f t="shared" si="8"/>
        <v>7843.04</v>
      </c>
      <c r="O128">
        <f t="shared" si="9"/>
        <v>3332.5199999999995</v>
      </c>
      <c r="P128" s="2">
        <f t="shared" si="10"/>
        <v>0.42490156877945279</v>
      </c>
      <c r="Q128" t="str">
        <f t="shared" si="11"/>
        <v>Weekday</v>
      </c>
      <c r="R128" t="str">
        <f t="shared" si="12"/>
        <v>Feb</v>
      </c>
      <c r="S128">
        <f t="shared" si="13"/>
        <v>2023</v>
      </c>
    </row>
    <row r="129" spans="1:19" x14ac:dyDescent="0.25">
      <c r="A129">
        <v>100127</v>
      </c>
      <c r="B129" s="1">
        <v>45650</v>
      </c>
      <c r="C129" t="s">
        <v>34</v>
      </c>
      <c r="D129" t="s">
        <v>148</v>
      </c>
      <c r="E129" t="s">
        <v>260</v>
      </c>
      <c r="F129">
        <v>3</v>
      </c>
      <c r="G129">
        <v>3581.36</v>
      </c>
      <c r="H129">
        <v>30</v>
      </c>
      <c r="I129" t="str">
        <f>IF(Sales[[#This Row],[Discount]]&lt;=10,"0-10%",IF(Sales[[#This Row],[Discount]]&lt;=20,"10-20%","20-30%"))</f>
        <v>20-30%</v>
      </c>
      <c r="J129">
        <v>2008.53</v>
      </c>
      <c r="K129" t="s">
        <v>268</v>
      </c>
      <c r="L129" t="s">
        <v>265</v>
      </c>
      <c r="M129">
        <f t="shared" si="7"/>
        <v>6025.59</v>
      </c>
      <c r="N129">
        <f t="shared" si="8"/>
        <v>7520.8559999999998</v>
      </c>
      <c r="O129">
        <f t="shared" si="9"/>
        <v>1495.2659999999996</v>
      </c>
      <c r="P129" s="2">
        <f t="shared" si="10"/>
        <v>0.19881593265447439</v>
      </c>
      <c r="Q129" t="str">
        <f t="shared" si="11"/>
        <v>Weekday</v>
      </c>
      <c r="R129" t="str">
        <f t="shared" si="12"/>
        <v>Dec</v>
      </c>
      <c r="S129">
        <f t="shared" si="13"/>
        <v>2024</v>
      </c>
    </row>
    <row r="130" spans="1:19" x14ac:dyDescent="0.25">
      <c r="A130">
        <v>100128</v>
      </c>
      <c r="B130" s="1">
        <v>45520</v>
      </c>
      <c r="C130" t="s">
        <v>53</v>
      </c>
      <c r="D130" t="s">
        <v>114</v>
      </c>
      <c r="E130" t="s">
        <v>259</v>
      </c>
      <c r="F130">
        <v>1</v>
      </c>
      <c r="G130">
        <v>4581.3599999999997</v>
      </c>
      <c r="H130">
        <v>30</v>
      </c>
      <c r="I130" t="str">
        <f>IF(Sales[[#This Row],[Discount]]&lt;=10,"0-10%",IF(Sales[[#This Row],[Discount]]&lt;=20,"10-20%","20-30%"))</f>
        <v>20-30%</v>
      </c>
      <c r="J130">
        <v>2963.05</v>
      </c>
      <c r="K130" t="s">
        <v>261</v>
      </c>
      <c r="L130" t="s">
        <v>266</v>
      </c>
      <c r="M130">
        <f t="shared" si="7"/>
        <v>2963.05</v>
      </c>
      <c r="N130">
        <f t="shared" si="8"/>
        <v>3206.9519999999998</v>
      </c>
      <c r="O130">
        <f t="shared" si="9"/>
        <v>243.90199999999959</v>
      </c>
      <c r="P130" s="2">
        <f t="shared" si="10"/>
        <v>7.6054147364849736E-2</v>
      </c>
      <c r="Q130" t="str">
        <f t="shared" si="11"/>
        <v>Weekday</v>
      </c>
      <c r="R130" t="str">
        <f t="shared" si="12"/>
        <v>Aug</v>
      </c>
      <c r="S130">
        <f t="shared" si="13"/>
        <v>2024</v>
      </c>
    </row>
    <row r="131" spans="1:19" x14ac:dyDescent="0.25">
      <c r="A131">
        <v>100129</v>
      </c>
      <c r="B131" s="1">
        <v>44936</v>
      </c>
      <c r="C131" t="s">
        <v>54</v>
      </c>
      <c r="D131" t="s">
        <v>149</v>
      </c>
      <c r="E131" t="s">
        <v>260</v>
      </c>
      <c r="F131">
        <v>4</v>
      </c>
      <c r="G131">
        <v>3031.46</v>
      </c>
      <c r="H131">
        <v>30</v>
      </c>
      <c r="I131" t="str">
        <f>IF(Sales[[#This Row],[Discount]]&lt;=10,"0-10%",IF(Sales[[#This Row],[Discount]]&lt;=20,"10-20%","20-30%"))</f>
        <v>20-30%</v>
      </c>
      <c r="J131">
        <v>2048.52</v>
      </c>
      <c r="K131" t="s">
        <v>268</v>
      </c>
      <c r="L131" t="s">
        <v>264</v>
      </c>
      <c r="M131">
        <f t="shared" ref="M131:M194" si="14">F131*J131</f>
        <v>8194.08</v>
      </c>
      <c r="N131">
        <f t="shared" ref="N131:N194" si="15">F131*G131*(1-H131/100)</f>
        <v>8488.0879999999997</v>
      </c>
      <c r="O131">
        <f t="shared" ref="O131:O194" si="16">N131-M131</f>
        <v>294.00799999999981</v>
      </c>
      <c r="P131" s="2">
        <f t="shared" ref="P131:P194" si="17">O131/N131</f>
        <v>3.4637718176343105E-2</v>
      </c>
      <c r="Q131" t="str">
        <f t="shared" ref="Q131:Q194" si="18">IF(WEEKDAY(B131,2)&gt;5,"Weekend","Weekday")</f>
        <v>Weekday</v>
      </c>
      <c r="R131" t="str">
        <f t="shared" ref="R131:R194" si="19">TEXT(B131,"mmm")</f>
        <v>Jan</v>
      </c>
      <c r="S131">
        <f t="shared" ref="S131:S194" si="20">YEAR(B131)</f>
        <v>2023</v>
      </c>
    </row>
    <row r="132" spans="1:19" x14ac:dyDescent="0.25">
      <c r="A132">
        <v>100130</v>
      </c>
      <c r="B132" s="1">
        <v>45045</v>
      </c>
      <c r="C132" t="s">
        <v>42</v>
      </c>
      <c r="D132" t="s">
        <v>125</v>
      </c>
      <c r="E132" t="s">
        <v>256</v>
      </c>
      <c r="F132">
        <v>2</v>
      </c>
      <c r="G132">
        <v>4370.5</v>
      </c>
      <c r="H132">
        <v>15</v>
      </c>
      <c r="I132" t="str">
        <f>IF(Sales[[#This Row],[Discount]]&lt;=10,"0-10%",IF(Sales[[#This Row],[Discount]]&lt;=20,"10-20%","20-30%"))</f>
        <v>10-20%</v>
      </c>
      <c r="J132">
        <v>1807.49</v>
      </c>
      <c r="K132" t="s">
        <v>261</v>
      </c>
      <c r="L132" t="s">
        <v>267</v>
      </c>
      <c r="M132">
        <f t="shared" si="14"/>
        <v>3614.98</v>
      </c>
      <c r="N132">
        <f t="shared" si="15"/>
        <v>7429.8499999999995</v>
      </c>
      <c r="O132">
        <f t="shared" si="16"/>
        <v>3814.8699999999994</v>
      </c>
      <c r="P132" s="2">
        <f t="shared" si="17"/>
        <v>0.51345181935032336</v>
      </c>
      <c r="Q132" t="str">
        <f t="shared" si="18"/>
        <v>Weekend</v>
      </c>
      <c r="R132" t="str">
        <f t="shared" si="19"/>
        <v>Apr</v>
      </c>
      <c r="S132">
        <f t="shared" si="20"/>
        <v>2023</v>
      </c>
    </row>
    <row r="133" spans="1:19" x14ac:dyDescent="0.25">
      <c r="A133">
        <v>100131</v>
      </c>
      <c r="B133" s="1">
        <v>45103</v>
      </c>
      <c r="C133" t="s">
        <v>11</v>
      </c>
      <c r="D133" t="s">
        <v>150</v>
      </c>
      <c r="E133" t="s">
        <v>255</v>
      </c>
      <c r="F133">
        <v>2</v>
      </c>
      <c r="G133">
        <v>4109.6000000000004</v>
      </c>
      <c r="H133">
        <v>0</v>
      </c>
      <c r="I133" t="str">
        <f>IF(Sales[[#This Row],[Discount]]&lt;=10,"0-10%",IF(Sales[[#This Row],[Discount]]&lt;=20,"10-20%","20-30%"))</f>
        <v>0-10%</v>
      </c>
      <c r="J133">
        <v>2861.03</v>
      </c>
      <c r="K133" t="s">
        <v>261</v>
      </c>
      <c r="L133" t="s">
        <v>267</v>
      </c>
      <c r="M133">
        <f t="shared" si="14"/>
        <v>5722.06</v>
      </c>
      <c r="N133">
        <f t="shared" si="15"/>
        <v>8219.2000000000007</v>
      </c>
      <c r="O133">
        <f t="shared" si="16"/>
        <v>2497.1400000000003</v>
      </c>
      <c r="P133" s="2">
        <f t="shared" si="17"/>
        <v>0.30381788981896052</v>
      </c>
      <c r="Q133" t="str">
        <f t="shared" si="18"/>
        <v>Weekday</v>
      </c>
      <c r="R133" t="str">
        <f t="shared" si="19"/>
        <v>Jun</v>
      </c>
      <c r="S133">
        <f t="shared" si="20"/>
        <v>2023</v>
      </c>
    </row>
    <row r="134" spans="1:19" x14ac:dyDescent="0.25">
      <c r="A134">
        <v>100132</v>
      </c>
      <c r="B134" s="1">
        <v>45615</v>
      </c>
      <c r="C134" t="s">
        <v>43</v>
      </c>
      <c r="D134" t="s">
        <v>128</v>
      </c>
      <c r="E134" t="s">
        <v>256</v>
      </c>
      <c r="F134">
        <v>1</v>
      </c>
      <c r="G134">
        <v>3823.02</v>
      </c>
      <c r="H134">
        <v>10</v>
      </c>
      <c r="I134" t="str">
        <f>IF(Sales[[#This Row],[Discount]]&lt;=10,"0-10%",IF(Sales[[#This Row],[Discount]]&lt;=20,"10-20%","20-30%"))</f>
        <v>0-10%</v>
      </c>
      <c r="J134">
        <v>1979.93</v>
      </c>
      <c r="K134" t="s">
        <v>268</v>
      </c>
      <c r="L134" t="s">
        <v>264</v>
      </c>
      <c r="M134">
        <f t="shared" si="14"/>
        <v>1979.93</v>
      </c>
      <c r="N134">
        <f t="shared" si="15"/>
        <v>3440.7179999999998</v>
      </c>
      <c r="O134">
        <f t="shared" si="16"/>
        <v>1460.7879999999998</v>
      </c>
      <c r="P134" s="2">
        <f t="shared" si="17"/>
        <v>0.42455906005665095</v>
      </c>
      <c r="Q134" t="str">
        <f t="shared" si="18"/>
        <v>Weekday</v>
      </c>
      <c r="R134" t="str">
        <f t="shared" si="19"/>
        <v>Nov</v>
      </c>
      <c r="S134">
        <f t="shared" si="20"/>
        <v>2024</v>
      </c>
    </row>
    <row r="135" spans="1:19" x14ac:dyDescent="0.25">
      <c r="A135">
        <v>100133</v>
      </c>
      <c r="B135" s="1">
        <v>45331</v>
      </c>
      <c r="C135" t="s">
        <v>30</v>
      </c>
      <c r="D135" t="s">
        <v>151</v>
      </c>
      <c r="E135" t="s">
        <v>260</v>
      </c>
      <c r="F135">
        <v>2</v>
      </c>
      <c r="G135">
        <v>473.06</v>
      </c>
      <c r="H135">
        <v>0</v>
      </c>
      <c r="I135" t="str">
        <f>IF(Sales[[#This Row],[Discount]]&lt;=10,"0-10%",IF(Sales[[#This Row],[Discount]]&lt;=20,"10-20%","20-30%"))</f>
        <v>0-10%</v>
      </c>
      <c r="J135">
        <v>208.22</v>
      </c>
      <c r="K135" t="s">
        <v>268</v>
      </c>
      <c r="L135" t="s">
        <v>265</v>
      </c>
      <c r="M135">
        <f t="shared" si="14"/>
        <v>416.44</v>
      </c>
      <c r="N135">
        <f t="shared" si="15"/>
        <v>946.12</v>
      </c>
      <c r="O135">
        <f t="shared" si="16"/>
        <v>529.68000000000006</v>
      </c>
      <c r="P135" s="2">
        <f t="shared" si="17"/>
        <v>0.55984441719866407</v>
      </c>
      <c r="Q135" t="str">
        <f t="shared" si="18"/>
        <v>Weekday</v>
      </c>
      <c r="R135" t="str">
        <f t="shared" si="19"/>
        <v>Feb</v>
      </c>
      <c r="S135">
        <f t="shared" si="20"/>
        <v>2024</v>
      </c>
    </row>
    <row r="136" spans="1:19" x14ac:dyDescent="0.25">
      <c r="A136">
        <v>100134</v>
      </c>
      <c r="B136" s="1">
        <v>45571</v>
      </c>
      <c r="C136" t="s">
        <v>49</v>
      </c>
      <c r="D136" t="s">
        <v>152</v>
      </c>
      <c r="E136" t="s">
        <v>255</v>
      </c>
      <c r="F136">
        <v>2</v>
      </c>
      <c r="G136">
        <v>3551.06</v>
      </c>
      <c r="H136">
        <v>5</v>
      </c>
      <c r="I136" t="str">
        <f>IF(Sales[[#This Row],[Discount]]&lt;=10,"0-10%",IF(Sales[[#This Row],[Discount]]&lt;=20,"10-20%","20-30%"))</f>
        <v>0-10%</v>
      </c>
      <c r="J136">
        <v>1989.67</v>
      </c>
      <c r="K136" t="s">
        <v>262</v>
      </c>
      <c r="L136" t="s">
        <v>267</v>
      </c>
      <c r="M136">
        <f t="shared" si="14"/>
        <v>3979.34</v>
      </c>
      <c r="N136">
        <f t="shared" si="15"/>
        <v>6747.0139999999992</v>
      </c>
      <c r="O136">
        <f t="shared" si="16"/>
        <v>2767.6739999999991</v>
      </c>
      <c r="P136" s="2">
        <f t="shared" si="17"/>
        <v>0.41020724130704328</v>
      </c>
      <c r="Q136" t="str">
        <f t="shared" si="18"/>
        <v>Weekend</v>
      </c>
      <c r="R136" t="str">
        <f t="shared" si="19"/>
        <v>Oct</v>
      </c>
      <c r="S136">
        <f t="shared" si="20"/>
        <v>2024</v>
      </c>
    </row>
    <row r="137" spans="1:19" x14ac:dyDescent="0.25">
      <c r="A137">
        <v>100135</v>
      </c>
      <c r="B137" s="1">
        <v>45603</v>
      </c>
      <c r="C137" t="s">
        <v>41</v>
      </c>
      <c r="D137" t="s">
        <v>153</v>
      </c>
      <c r="E137" t="s">
        <v>258</v>
      </c>
      <c r="F137">
        <v>3</v>
      </c>
      <c r="G137">
        <v>2910.53</v>
      </c>
      <c r="H137">
        <v>10</v>
      </c>
      <c r="I137" t="str">
        <f>IF(Sales[[#This Row],[Discount]]&lt;=10,"0-10%",IF(Sales[[#This Row],[Discount]]&lt;=20,"10-20%","20-30%"))</f>
        <v>0-10%</v>
      </c>
      <c r="J137">
        <v>1835.66</v>
      </c>
      <c r="K137" t="s">
        <v>261</v>
      </c>
      <c r="L137" t="s">
        <v>266</v>
      </c>
      <c r="M137">
        <f t="shared" si="14"/>
        <v>5506.9800000000005</v>
      </c>
      <c r="N137">
        <f t="shared" si="15"/>
        <v>7858.4310000000005</v>
      </c>
      <c r="O137">
        <f t="shared" si="16"/>
        <v>2351.451</v>
      </c>
      <c r="P137" s="2">
        <f t="shared" si="17"/>
        <v>0.29922652498953034</v>
      </c>
      <c r="Q137" t="str">
        <f t="shared" si="18"/>
        <v>Weekday</v>
      </c>
      <c r="R137" t="str">
        <f t="shared" si="19"/>
        <v>Nov</v>
      </c>
      <c r="S137">
        <f t="shared" si="20"/>
        <v>2024</v>
      </c>
    </row>
    <row r="138" spans="1:19" x14ac:dyDescent="0.25">
      <c r="A138">
        <v>100136</v>
      </c>
      <c r="B138" s="1">
        <v>44927</v>
      </c>
      <c r="C138" t="s">
        <v>43</v>
      </c>
      <c r="D138" t="s">
        <v>68</v>
      </c>
      <c r="E138" t="s">
        <v>258</v>
      </c>
      <c r="F138">
        <v>1</v>
      </c>
      <c r="G138">
        <v>1433.1</v>
      </c>
      <c r="H138">
        <v>15</v>
      </c>
      <c r="I138" t="str">
        <f>IF(Sales[[#This Row],[Discount]]&lt;=10,"0-10%",IF(Sales[[#This Row],[Discount]]&lt;=20,"10-20%","20-30%"))</f>
        <v>10-20%</v>
      </c>
      <c r="J138">
        <v>661.4</v>
      </c>
      <c r="K138" t="s">
        <v>261</v>
      </c>
      <c r="L138" t="s">
        <v>267</v>
      </c>
      <c r="M138">
        <f t="shared" si="14"/>
        <v>661.4</v>
      </c>
      <c r="N138">
        <f t="shared" si="15"/>
        <v>1218.135</v>
      </c>
      <c r="O138">
        <f t="shared" si="16"/>
        <v>556.73500000000001</v>
      </c>
      <c r="P138" s="2">
        <f t="shared" si="17"/>
        <v>0.45703883395518563</v>
      </c>
      <c r="Q138" t="str">
        <f t="shared" si="18"/>
        <v>Weekend</v>
      </c>
      <c r="R138" t="str">
        <f t="shared" si="19"/>
        <v>Jan</v>
      </c>
      <c r="S138">
        <f t="shared" si="20"/>
        <v>2023</v>
      </c>
    </row>
    <row r="139" spans="1:19" x14ac:dyDescent="0.25">
      <c r="A139">
        <v>100137</v>
      </c>
      <c r="B139" s="1">
        <v>45414</v>
      </c>
      <c r="C139" t="s">
        <v>17</v>
      </c>
      <c r="D139" t="s">
        <v>154</v>
      </c>
      <c r="E139" t="s">
        <v>257</v>
      </c>
      <c r="F139">
        <v>1</v>
      </c>
      <c r="G139">
        <v>3149.02</v>
      </c>
      <c r="H139">
        <v>20</v>
      </c>
      <c r="I139" t="str">
        <f>IF(Sales[[#This Row],[Discount]]&lt;=10,"0-10%",IF(Sales[[#This Row],[Discount]]&lt;=20,"10-20%","20-30%"))</f>
        <v>10-20%</v>
      </c>
      <c r="J139">
        <v>1475.61</v>
      </c>
      <c r="K139" t="s">
        <v>261</v>
      </c>
      <c r="L139" t="s">
        <v>266</v>
      </c>
      <c r="M139">
        <f t="shared" si="14"/>
        <v>1475.61</v>
      </c>
      <c r="N139">
        <f t="shared" si="15"/>
        <v>2519.2160000000003</v>
      </c>
      <c r="O139">
        <f t="shared" si="16"/>
        <v>1043.6060000000004</v>
      </c>
      <c r="P139" s="2">
        <f t="shared" si="17"/>
        <v>0.41425824542238548</v>
      </c>
      <c r="Q139" t="str">
        <f t="shared" si="18"/>
        <v>Weekday</v>
      </c>
      <c r="R139" t="str">
        <f t="shared" si="19"/>
        <v>May</v>
      </c>
      <c r="S139">
        <f t="shared" si="20"/>
        <v>2024</v>
      </c>
    </row>
    <row r="140" spans="1:19" x14ac:dyDescent="0.25">
      <c r="A140">
        <v>100138</v>
      </c>
      <c r="B140" s="1">
        <v>45080</v>
      </c>
      <c r="C140" t="s">
        <v>53</v>
      </c>
      <c r="D140" t="s">
        <v>130</v>
      </c>
      <c r="E140" t="s">
        <v>259</v>
      </c>
      <c r="F140">
        <v>2</v>
      </c>
      <c r="G140">
        <v>1983.36</v>
      </c>
      <c r="H140">
        <v>5</v>
      </c>
      <c r="I140" t="str">
        <f>IF(Sales[[#This Row],[Discount]]&lt;=10,"0-10%",IF(Sales[[#This Row],[Discount]]&lt;=20,"10-20%","20-30%"))</f>
        <v>0-10%</v>
      </c>
      <c r="J140">
        <v>860.91</v>
      </c>
      <c r="K140" t="s">
        <v>268</v>
      </c>
      <c r="L140" t="s">
        <v>264</v>
      </c>
      <c r="M140">
        <f t="shared" si="14"/>
        <v>1721.82</v>
      </c>
      <c r="N140">
        <f t="shared" si="15"/>
        <v>3768.3839999999996</v>
      </c>
      <c r="O140">
        <f t="shared" si="16"/>
        <v>2046.5639999999996</v>
      </c>
      <c r="P140" s="2">
        <f t="shared" si="17"/>
        <v>0.54308796555765015</v>
      </c>
      <c r="Q140" t="str">
        <f t="shared" si="18"/>
        <v>Weekend</v>
      </c>
      <c r="R140" t="str">
        <f t="shared" si="19"/>
        <v>Jun</v>
      </c>
      <c r="S140">
        <f t="shared" si="20"/>
        <v>2023</v>
      </c>
    </row>
    <row r="141" spans="1:19" x14ac:dyDescent="0.25">
      <c r="A141">
        <v>100139</v>
      </c>
      <c r="B141" s="1">
        <v>45194</v>
      </c>
      <c r="C141" t="s">
        <v>48</v>
      </c>
      <c r="D141" t="s">
        <v>155</v>
      </c>
      <c r="E141" t="s">
        <v>256</v>
      </c>
      <c r="F141">
        <v>2</v>
      </c>
      <c r="G141">
        <v>3929.9</v>
      </c>
      <c r="H141">
        <v>0</v>
      </c>
      <c r="I141" t="str">
        <f>IF(Sales[[#This Row],[Discount]]&lt;=10,"0-10%",IF(Sales[[#This Row],[Discount]]&lt;=20,"10-20%","20-30%"))</f>
        <v>0-10%</v>
      </c>
      <c r="J141">
        <v>2185.2199999999998</v>
      </c>
      <c r="K141" t="s">
        <v>268</v>
      </c>
      <c r="L141" t="s">
        <v>265</v>
      </c>
      <c r="M141">
        <f t="shared" si="14"/>
        <v>4370.4399999999996</v>
      </c>
      <c r="N141">
        <f t="shared" si="15"/>
        <v>7859.8</v>
      </c>
      <c r="O141">
        <f t="shared" si="16"/>
        <v>3489.3600000000006</v>
      </c>
      <c r="P141" s="2">
        <f t="shared" si="17"/>
        <v>0.44395022774116394</v>
      </c>
      <c r="Q141" t="str">
        <f t="shared" si="18"/>
        <v>Weekday</v>
      </c>
      <c r="R141" t="str">
        <f t="shared" si="19"/>
        <v>Sep</v>
      </c>
      <c r="S141">
        <f t="shared" si="20"/>
        <v>2023</v>
      </c>
    </row>
    <row r="142" spans="1:19" x14ac:dyDescent="0.25">
      <c r="A142">
        <v>100140</v>
      </c>
      <c r="B142" s="1">
        <v>45327</v>
      </c>
      <c r="C142" t="s">
        <v>17</v>
      </c>
      <c r="D142" t="s">
        <v>101</v>
      </c>
      <c r="E142" t="s">
        <v>259</v>
      </c>
      <c r="F142">
        <v>2</v>
      </c>
      <c r="G142">
        <v>4849.4799999999996</v>
      </c>
      <c r="H142">
        <v>0</v>
      </c>
      <c r="I142" t="str">
        <f>IF(Sales[[#This Row],[Discount]]&lt;=10,"0-10%",IF(Sales[[#This Row],[Discount]]&lt;=20,"10-20%","20-30%"))</f>
        <v>0-10%</v>
      </c>
      <c r="J142">
        <v>2068.41</v>
      </c>
      <c r="K142" t="s">
        <v>262</v>
      </c>
      <c r="L142" t="s">
        <v>263</v>
      </c>
      <c r="M142">
        <f t="shared" si="14"/>
        <v>4136.82</v>
      </c>
      <c r="N142">
        <f t="shared" si="15"/>
        <v>9698.9599999999991</v>
      </c>
      <c r="O142">
        <f t="shared" si="16"/>
        <v>5562.1399999999994</v>
      </c>
      <c r="P142" s="2">
        <f t="shared" si="17"/>
        <v>0.5734779811443701</v>
      </c>
      <c r="Q142" t="str">
        <f t="shared" si="18"/>
        <v>Weekday</v>
      </c>
      <c r="R142" t="str">
        <f t="shared" si="19"/>
        <v>Feb</v>
      </c>
      <c r="S142">
        <f t="shared" si="20"/>
        <v>2024</v>
      </c>
    </row>
    <row r="143" spans="1:19" x14ac:dyDescent="0.25">
      <c r="A143">
        <v>100141</v>
      </c>
      <c r="B143" s="1">
        <v>45504</v>
      </c>
      <c r="C143" t="s">
        <v>45</v>
      </c>
      <c r="D143" t="s">
        <v>100</v>
      </c>
      <c r="E143" t="s">
        <v>256</v>
      </c>
      <c r="F143">
        <v>3</v>
      </c>
      <c r="G143">
        <v>435.28</v>
      </c>
      <c r="H143">
        <v>0</v>
      </c>
      <c r="I143" t="str">
        <f>IF(Sales[[#This Row],[Discount]]&lt;=10,"0-10%",IF(Sales[[#This Row],[Discount]]&lt;=20,"10-20%","20-30%"))</f>
        <v>0-10%</v>
      </c>
      <c r="J143">
        <v>272.72000000000003</v>
      </c>
      <c r="K143" t="s">
        <v>262</v>
      </c>
      <c r="L143" t="s">
        <v>263</v>
      </c>
      <c r="M143">
        <f t="shared" si="14"/>
        <v>818.16000000000008</v>
      </c>
      <c r="N143">
        <f t="shared" si="15"/>
        <v>1305.8399999999999</v>
      </c>
      <c r="O143">
        <f t="shared" si="16"/>
        <v>487.67999999999984</v>
      </c>
      <c r="P143" s="2">
        <f t="shared" si="17"/>
        <v>0.37346076088954228</v>
      </c>
      <c r="Q143" t="str">
        <f t="shared" si="18"/>
        <v>Weekday</v>
      </c>
      <c r="R143" t="str">
        <f t="shared" si="19"/>
        <v>Jul</v>
      </c>
      <c r="S143">
        <f t="shared" si="20"/>
        <v>2024</v>
      </c>
    </row>
    <row r="144" spans="1:19" x14ac:dyDescent="0.25">
      <c r="A144">
        <v>100142</v>
      </c>
      <c r="B144" s="1">
        <v>45232</v>
      </c>
      <c r="C144" t="s">
        <v>23</v>
      </c>
      <c r="D144" t="s">
        <v>156</v>
      </c>
      <c r="E144" t="s">
        <v>259</v>
      </c>
      <c r="F144">
        <v>3</v>
      </c>
      <c r="G144">
        <v>4544.8100000000004</v>
      </c>
      <c r="H144">
        <v>0</v>
      </c>
      <c r="I144" t="str">
        <f>IF(Sales[[#This Row],[Discount]]&lt;=10,"0-10%",IF(Sales[[#This Row],[Discount]]&lt;=20,"10-20%","20-30%"))</f>
        <v>0-10%</v>
      </c>
      <c r="J144">
        <v>2659.53</v>
      </c>
      <c r="K144" t="s">
        <v>268</v>
      </c>
      <c r="L144" t="s">
        <v>263</v>
      </c>
      <c r="M144">
        <f t="shared" si="14"/>
        <v>7978.59</v>
      </c>
      <c r="N144">
        <f t="shared" si="15"/>
        <v>13634.43</v>
      </c>
      <c r="O144">
        <f t="shared" si="16"/>
        <v>5655.84</v>
      </c>
      <c r="P144" s="2">
        <f t="shared" si="17"/>
        <v>0.41482042153577375</v>
      </c>
      <c r="Q144" t="str">
        <f t="shared" si="18"/>
        <v>Weekday</v>
      </c>
      <c r="R144" t="str">
        <f t="shared" si="19"/>
        <v>Nov</v>
      </c>
      <c r="S144">
        <f t="shared" si="20"/>
        <v>2023</v>
      </c>
    </row>
    <row r="145" spans="1:19" x14ac:dyDescent="0.25">
      <c r="A145">
        <v>100143</v>
      </c>
      <c r="B145" s="1">
        <v>45373</v>
      </c>
      <c r="C145" t="s">
        <v>26</v>
      </c>
      <c r="D145" t="s">
        <v>81</v>
      </c>
      <c r="E145" t="s">
        <v>258</v>
      </c>
      <c r="F145">
        <v>2</v>
      </c>
      <c r="G145">
        <v>2143.5500000000002</v>
      </c>
      <c r="H145">
        <v>0</v>
      </c>
      <c r="I145" t="str">
        <f>IF(Sales[[#This Row],[Discount]]&lt;=10,"0-10%",IF(Sales[[#This Row],[Discount]]&lt;=20,"10-20%","20-30%"))</f>
        <v>0-10%</v>
      </c>
      <c r="J145">
        <v>1138.74</v>
      </c>
      <c r="K145" t="s">
        <v>261</v>
      </c>
      <c r="L145" t="s">
        <v>263</v>
      </c>
      <c r="M145">
        <f t="shared" si="14"/>
        <v>2277.48</v>
      </c>
      <c r="N145">
        <f t="shared" si="15"/>
        <v>4287.1000000000004</v>
      </c>
      <c r="O145">
        <f t="shared" si="16"/>
        <v>2009.6200000000003</v>
      </c>
      <c r="P145" s="2">
        <f t="shared" si="17"/>
        <v>0.4687597676751184</v>
      </c>
      <c r="Q145" t="str">
        <f t="shared" si="18"/>
        <v>Weekday</v>
      </c>
      <c r="R145" t="str">
        <f t="shared" si="19"/>
        <v>Mar</v>
      </c>
      <c r="S145">
        <f t="shared" si="20"/>
        <v>2024</v>
      </c>
    </row>
    <row r="146" spans="1:19" x14ac:dyDescent="0.25">
      <c r="A146">
        <v>100144</v>
      </c>
      <c r="B146" s="1">
        <v>45468</v>
      </c>
      <c r="C146" t="s">
        <v>34</v>
      </c>
      <c r="D146" t="s">
        <v>157</v>
      </c>
      <c r="E146" t="s">
        <v>257</v>
      </c>
      <c r="F146">
        <v>1</v>
      </c>
      <c r="G146">
        <v>2715.75</v>
      </c>
      <c r="H146">
        <v>5</v>
      </c>
      <c r="I146" t="str">
        <f>IF(Sales[[#This Row],[Discount]]&lt;=10,"0-10%",IF(Sales[[#This Row],[Discount]]&lt;=20,"10-20%","20-30%"))</f>
        <v>0-10%</v>
      </c>
      <c r="J146">
        <v>1724.76</v>
      </c>
      <c r="K146" t="s">
        <v>262</v>
      </c>
      <c r="L146" t="s">
        <v>266</v>
      </c>
      <c r="M146">
        <f t="shared" si="14"/>
        <v>1724.76</v>
      </c>
      <c r="N146">
        <f t="shared" si="15"/>
        <v>2579.9625000000001</v>
      </c>
      <c r="O146">
        <f t="shared" si="16"/>
        <v>855.2025000000001</v>
      </c>
      <c r="P146" s="2">
        <f t="shared" si="17"/>
        <v>0.33147865521301184</v>
      </c>
      <c r="Q146" t="str">
        <f t="shared" si="18"/>
        <v>Weekday</v>
      </c>
      <c r="R146" t="str">
        <f t="shared" si="19"/>
        <v>Jun</v>
      </c>
      <c r="S146">
        <f t="shared" si="20"/>
        <v>2024</v>
      </c>
    </row>
    <row r="147" spans="1:19" x14ac:dyDescent="0.25">
      <c r="A147">
        <v>100145</v>
      </c>
      <c r="B147" s="1">
        <v>45064</v>
      </c>
      <c r="C147" t="s">
        <v>13</v>
      </c>
      <c r="D147" t="s">
        <v>92</v>
      </c>
      <c r="E147" t="s">
        <v>259</v>
      </c>
      <c r="F147">
        <v>3</v>
      </c>
      <c r="G147">
        <v>3578.92</v>
      </c>
      <c r="H147">
        <v>5</v>
      </c>
      <c r="I147" t="str">
        <f>IF(Sales[[#This Row],[Discount]]&lt;=10,"0-10%",IF(Sales[[#This Row],[Discount]]&lt;=20,"10-20%","20-30%"))</f>
        <v>0-10%</v>
      </c>
      <c r="J147">
        <v>2286.7199999999998</v>
      </c>
      <c r="K147" t="s">
        <v>261</v>
      </c>
      <c r="L147" t="s">
        <v>264</v>
      </c>
      <c r="M147">
        <f t="shared" si="14"/>
        <v>6860.16</v>
      </c>
      <c r="N147">
        <f t="shared" si="15"/>
        <v>10199.922</v>
      </c>
      <c r="O147">
        <f t="shared" si="16"/>
        <v>3339.7620000000006</v>
      </c>
      <c r="P147" s="2">
        <f t="shared" si="17"/>
        <v>0.32743015093644839</v>
      </c>
      <c r="Q147" t="str">
        <f t="shared" si="18"/>
        <v>Weekday</v>
      </c>
      <c r="R147" t="str">
        <f t="shared" si="19"/>
        <v>May</v>
      </c>
      <c r="S147">
        <f t="shared" si="20"/>
        <v>2023</v>
      </c>
    </row>
    <row r="148" spans="1:19" x14ac:dyDescent="0.25">
      <c r="A148">
        <v>100146</v>
      </c>
      <c r="B148" s="1">
        <v>44995</v>
      </c>
      <c r="C148" t="s">
        <v>30</v>
      </c>
      <c r="D148" t="s">
        <v>122</v>
      </c>
      <c r="E148" t="s">
        <v>254</v>
      </c>
      <c r="F148">
        <v>1</v>
      </c>
      <c r="G148">
        <v>2612.9499999999998</v>
      </c>
      <c r="H148">
        <v>30</v>
      </c>
      <c r="I148" t="str">
        <f>IF(Sales[[#This Row],[Discount]]&lt;=10,"0-10%",IF(Sales[[#This Row],[Discount]]&lt;=20,"10-20%","20-30%"))</f>
        <v>20-30%</v>
      </c>
      <c r="J148">
        <v>1247.6099999999999</v>
      </c>
      <c r="K148" t="s">
        <v>262</v>
      </c>
      <c r="L148" t="s">
        <v>265</v>
      </c>
      <c r="M148">
        <f t="shared" si="14"/>
        <v>1247.6099999999999</v>
      </c>
      <c r="N148">
        <f t="shared" si="15"/>
        <v>1829.0649999999998</v>
      </c>
      <c r="O148">
        <f t="shared" si="16"/>
        <v>581.45499999999993</v>
      </c>
      <c r="P148" s="2">
        <f t="shared" si="17"/>
        <v>0.31789739566390479</v>
      </c>
      <c r="Q148" t="str">
        <f t="shared" si="18"/>
        <v>Weekday</v>
      </c>
      <c r="R148" t="str">
        <f t="shared" si="19"/>
        <v>Mar</v>
      </c>
      <c r="S148">
        <f t="shared" si="20"/>
        <v>2023</v>
      </c>
    </row>
    <row r="149" spans="1:19" x14ac:dyDescent="0.25">
      <c r="A149">
        <v>100147</v>
      </c>
      <c r="B149" s="1">
        <v>44969</v>
      </c>
      <c r="C149" t="s">
        <v>24</v>
      </c>
      <c r="D149" t="s">
        <v>114</v>
      </c>
      <c r="E149" t="s">
        <v>254</v>
      </c>
      <c r="F149">
        <v>2</v>
      </c>
      <c r="G149">
        <v>2615.31</v>
      </c>
      <c r="H149">
        <v>15</v>
      </c>
      <c r="I149" t="str">
        <f>IF(Sales[[#This Row],[Discount]]&lt;=10,"0-10%",IF(Sales[[#This Row],[Discount]]&lt;=20,"10-20%","20-30%"))</f>
        <v>10-20%</v>
      </c>
      <c r="J149">
        <v>1304.06</v>
      </c>
      <c r="K149" t="s">
        <v>261</v>
      </c>
      <c r="L149" t="s">
        <v>264</v>
      </c>
      <c r="M149">
        <f t="shared" si="14"/>
        <v>2608.12</v>
      </c>
      <c r="N149">
        <f t="shared" si="15"/>
        <v>4446.027</v>
      </c>
      <c r="O149">
        <f t="shared" si="16"/>
        <v>1837.9070000000002</v>
      </c>
      <c r="P149" s="2">
        <f t="shared" si="17"/>
        <v>0.41338188004706228</v>
      </c>
      <c r="Q149" t="str">
        <f t="shared" si="18"/>
        <v>Weekend</v>
      </c>
      <c r="R149" t="str">
        <f t="shared" si="19"/>
        <v>Feb</v>
      </c>
      <c r="S149">
        <f t="shared" si="20"/>
        <v>2023</v>
      </c>
    </row>
    <row r="150" spans="1:19" x14ac:dyDescent="0.25">
      <c r="A150">
        <v>100148</v>
      </c>
      <c r="B150" s="1">
        <v>45021</v>
      </c>
      <c r="C150" t="s">
        <v>22</v>
      </c>
      <c r="D150" t="s">
        <v>158</v>
      </c>
      <c r="E150" t="s">
        <v>257</v>
      </c>
      <c r="F150">
        <v>3</v>
      </c>
      <c r="G150">
        <v>905.73</v>
      </c>
      <c r="H150">
        <v>5</v>
      </c>
      <c r="I150" t="str">
        <f>IF(Sales[[#This Row],[Discount]]&lt;=10,"0-10%",IF(Sales[[#This Row],[Discount]]&lt;=20,"10-20%","20-30%"))</f>
        <v>0-10%</v>
      </c>
      <c r="J150">
        <v>397.08</v>
      </c>
      <c r="K150" t="s">
        <v>262</v>
      </c>
      <c r="L150" t="s">
        <v>266</v>
      </c>
      <c r="M150">
        <f t="shared" si="14"/>
        <v>1191.24</v>
      </c>
      <c r="N150">
        <f t="shared" si="15"/>
        <v>2581.3305</v>
      </c>
      <c r="O150">
        <f t="shared" si="16"/>
        <v>1390.0905</v>
      </c>
      <c r="P150" s="2">
        <f t="shared" si="17"/>
        <v>0.53851705544873085</v>
      </c>
      <c r="Q150" t="str">
        <f t="shared" si="18"/>
        <v>Weekday</v>
      </c>
      <c r="R150" t="str">
        <f t="shared" si="19"/>
        <v>Apr</v>
      </c>
      <c r="S150">
        <f t="shared" si="20"/>
        <v>2023</v>
      </c>
    </row>
    <row r="151" spans="1:19" x14ac:dyDescent="0.25">
      <c r="A151">
        <v>100149</v>
      </c>
      <c r="B151" s="1">
        <v>45622</v>
      </c>
      <c r="C151" t="s">
        <v>23</v>
      </c>
      <c r="D151" t="s">
        <v>159</v>
      </c>
      <c r="E151" t="s">
        <v>258</v>
      </c>
      <c r="F151">
        <v>4</v>
      </c>
      <c r="G151">
        <v>3312.11</v>
      </c>
      <c r="H151">
        <v>30</v>
      </c>
      <c r="I151" t="str">
        <f>IF(Sales[[#This Row],[Discount]]&lt;=10,"0-10%",IF(Sales[[#This Row],[Discount]]&lt;=20,"10-20%","20-30%"))</f>
        <v>20-30%</v>
      </c>
      <c r="J151">
        <v>1505.57</v>
      </c>
      <c r="K151" t="s">
        <v>262</v>
      </c>
      <c r="L151" t="s">
        <v>264</v>
      </c>
      <c r="M151">
        <f t="shared" si="14"/>
        <v>6022.28</v>
      </c>
      <c r="N151">
        <f t="shared" si="15"/>
        <v>9273.9079999999994</v>
      </c>
      <c r="O151">
        <f t="shared" si="16"/>
        <v>3251.6279999999997</v>
      </c>
      <c r="P151" s="2">
        <f t="shared" si="17"/>
        <v>0.35062111895006937</v>
      </c>
      <c r="Q151" t="str">
        <f t="shared" si="18"/>
        <v>Weekday</v>
      </c>
      <c r="R151" t="str">
        <f t="shared" si="19"/>
        <v>Nov</v>
      </c>
      <c r="S151">
        <f t="shared" si="20"/>
        <v>2024</v>
      </c>
    </row>
    <row r="152" spans="1:19" x14ac:dyDescent="0.25">
      <c r="A152">
        <v>100150</v>
      </c>
      <c r="B152" s="1">
        <v>45598</v>
      </c>
      <c r="C152" t="s">
        <v>55</v>
      </c>
      <c r="D152" t="s">
        <v>97</v>
      </c>
      <c r="E152" t="s">
        <v>257</v>
      </c>
      <c r="F152">
        <v>3</v>
      </c>
      <c r="G152">
        <v>4409.29</v>
      </c>
      <c r="H152">
        <v>25</v>
      </c>
      <c r="I152" t="str">
        <f>IF(Sales[[#This Row],[Discount]]&lt;=10,"0-10%",IF(Sales[[#This Row],[Discount]]&lt;=20,"10-20%","20-30%"))</f>
        <v>20-30%</v>
      </c>
      <c r="J152">
        <v>2445.2600000000002</v>
      </c>
      <c r="K152" t="s">
        <v>261</v>
      </c>
      <c r="L152" t="s">
        <v>267</v>
      </c>
      <c r="M152">
        <f t="shared" si="14"/>
        <v>7335.7800000000007</v>
      </c>
      <c r="N152">
        <f t="shared" si="15"/>
        <v>9920.9025000000001</v>
      </c>
      <c r="O152">
        <f t="shared" si="16"/>
        <v>2585.1224999999995</v>
      </c>
      <c r="P152" s="2">
        <f t="shared" si="17"/>
        <v>0.26057331981641785</v>
      </c>
      <c r="Q152" t="str">
        <f t="shared" si="18"/>
        <v>Weekend</v>
      </c>
      <c r="R152" t="str">
        <f t="shared" si="19"/>
        <v>Nov</v>
      </c>
      <c r="S152">
        <f t="shared" si="20"/>
        <v>2024</v>
      </c>
    </row>
    <row r="153" spans="1:19" x14ac:dyDescent="0.25">
      <c r="A153">
        <v>100151</v>
      </c>
      <c r="B153" s="1">
        <v>44931</v>
      </c>
      <c r="C153" t="s">
        <v>35</v>
      </c>
      <c r="D153" t="s">
        <v>160</v>
      </c>
      <c r="E153" t="s">
        <v>258</v>
      </c>
      <c r="F153">
        <v>1</v>
      </c>
      <c r="G153">
        <v>1203.76</v>
      </c>
      <c r="H153">
        <v>5</v>
      </c>
      <c r="I153" t="str">
        <f>IF(Sales[[#This Row],[Discount]]&lt;=10,"0-10%",IF(Sales[[#This Row],[Discount]]&lt;=20,"10-20%","20-30%"))</f>
        <v>0-10%</v>
      </c>
      <c r="J153">
        <v>496.26</v>
      </c>
      <c r="K153" t="s">
        <v>268</v>
      </c>
      <c r="L153" t="s">
        <v>267</v>
      </c>
      <c r="M153">
        <f t="shared" si="14"/>
        <v>496.26</v>
      </c>
      <c r="N153">
        <f t="shared" si="15"/>
        <v>1143.5719999999999</v>
      </c>
      <c r="O153">
        <f t="shared" si="16"/>
        <v>647.3119999999999</v>
      </c>
      <c r="P153" s="2">
        <f t="shared" si="17"/>
        <v>0.56604393951583276</v>
      </c>
      <c r="Q153" t="str">
        <f t="shared" si="18"/>
        <v>Weekday</v>
      </c>
      <c r="R153" t="str">
        <f t="shared" si="19"/>
        <v>Jan</v>
      </c>
      <c r="S153">
        <f t="shared" si="20"/>
        <v>2023</v>
      </c>
    </row>
    <row r="154" spans="1:19" x14ac:dyDescent="0.25">
      <c r="A154">
        <v>100152</v>
      </c>
      <c r="B154" s="1">
        <v>45439</v>
      </c>
      <c r="C154" t="s">
        <v>35</v>
      </c>
      <c r="D154" t="s">
        <v>161</v>
      </c>
      <c r="E154" t="s">
        <v>256</v>
      </c>
      <c r="F154">
        <v>2</v>
      </c>
      <c r="G154">
        <v>1131.95</v>
      </c>
      <c r="H154">
        <v>10</v>
      </c>
      <c r="I154" t="str">
        <f>IF(Sales[[#This Row],[Discount]]&lt;=10,"0-10%",IF(Sales[[#This Row],[Discount]]&lt;=20,"10-20%","20-30%"))</f>
        <v>0-10%</v>
      </c>
      <c r="J154">
        <v>482.9</v>
      </c>
      <c r="K154" t="s">
        <v>268</v>
      </c>
      <c r="L154" t="s">
        <v>264</v>
      </c>
      <c r="M154">
        <f t="shared" si="14"/>
        <v>965.8</v>
      </c>
      <c r="N154">
        <f t="shared" si="15"/>
        <v>2037.5100000000002</v>
      </c>
      <c r="O154">
        <f t="shared" si="16"/>
        <v>1071.7100000000003</v>
      </c>
      <c r="P154" s="2">
        <f t="shared" si="17"/>
        <v>0.52599005649052033</v>
      </c>
      <c r="Q154" t="str">
        <f t="shared" si="18"/>
        <v>Weekday</v>
      </c>
      <c r="R154" t="str">
        <f t="shared" si="19"/>
        <v>May</v>
      </c>
      <c r="S154">
        <f t="shared" si="20"/>
        <v>2024</v>
      </c>
    </row>
    <row r="155" spans="1:19" x14ac:dyDescent="0.25">
      <c r="A155">
        <v>100153</v>
      </c>
      <c r="B155" s="1">
        <v>45004</v>
      </c>
      <c r="C155" t="s">
        <v>45</v>
      </c>
      <c r="D155" t="s">
        <v>141</v>
      </c>
      <c r="E155" t="s">
        <v>257</v>
      </c>
      <c r="F155">
        <v>1</v>
      </c>
      <c r="G155">
        <v>1973.16</v>
      </c>
      <c r="H155">
        <v>20</v>
      </c>
      <c r="I155" t="str">
        <f>IF(Sales[[#This Row],[Discount]]&lt;=10,"0-10%",IF(Sales[[#This Row],[Discount]]&lt;=20,"10-20%","20-30%"))</f>
        <v>10-20%</v>
      </c>
      <c r="J155">
        <v>1318.59</v>
      </c>
      <c r="K155" t="s">
        <v>268</v>
      </c>
      <c r="L155" t="s">
        <v>267</v>
      </c>
      <c r="M155">
        <f t="shared" si="14"/>
        <v>1318.59</v>
      </c>
      <c r="N155">
        <f t="shared" si="15"/>
        <v>1578.5280000000002</v>
      </c>
      <c r="O155">
        <f t="shared" si="16"/>
        <v>259.93800000000033</v>
      </c>
      <c r="P155" s="2">
        <f t="shared" si="17"/>
        <v>0.16467113665389546</v>
      </c>
      <c r="Q155" t="str">
        <f t="shared" si="18"/>
        <v>Weekend</v>
      </c>
      <c r="R155" t="str">
        <f t="shared" si="19"/>
        <v>Mar</v>
      </c>
      <c r="S155">
        <f t="shared" si="20"/>
        <v>2023</v>
      </c>
    </row>
    <row r="156" spans="1:19" x14ac:dyDescent="0.25">
      <c r="A156">
        <v>100154</v>
      </c>
      <c r="B156" s="1">
        <v>45047</v>
      </c>
      <c r="C156" t="s">
        <v>35</v>
      </c>
      <c r="D156" t="s">
        <v>149</v>
      </c>
      <c r="E156" t="s">
        <v>257</v>
      </c>
      <c r="F156">
        <v>3</v>
      </c>
      <c r="G156">
        <v>484.77</v>
      </c>
      <c r="H156">
        <v>0</v>
      </c>
      <c r="I156" t="str">
        <f>IF(Sales[[#This Row],[Discount]]&lt;=10,"0-10%",IF(Sales[[#This Row],[Discount]]&lt;=20,"10-20%","20-30%"))</f>
        <v>0-10%</v>
      </c>
      <c r="J156">
        <v>310.17</v>
      </c>
      <c r="K156" t="s">
        <v>268</v>
      </c>
      <c r="L156" t="s">
        <v>264</v>
      </c>
      <c r="M156">
        <f t="shared" si="14"/>
        <v>930.51</v>
      </c>
      <c r="N156">
        <f t="shared" si="15"/>
        <v>1454.31</v>
      </c>
      <c r="O156">
        <f t="shared" si="16"/>
        <v>523.79999999999995</v>
      </c>
      <c r="P156" s="2">
        <f t="shared" si="17"/>
        <v>0.36017080264867873</v>
      </c>
      <c r="Q156" t="str">
        <f t="shared" si="18"/>
        <v>Weekday</v>
      </c>
      <c r="R156" t="str">
        <f t="shared" si="19"/>
        <v>May</v>
      </c>
      <c r="S156">
        <f t="shared" si="20"/>
        <v>2023</v>
      </c>
    </row>
    <row r="157" spans="1:19" x14ac:dyDescent="0.25">
      <c r="A157">
        <v>100155</v>
      </c>
      <c r="B157" s="1">
        <v>45263</v>
      </c>
      <c r="C157" t="s">
        <v>29</v>
      </c>
      <c r="D157" t="s">
        <v>162</v>
      </c>
      <c r="E157" t="s">
        <v>257</v>
      </c>
      <c r="F157">
        <v>2</v>
      </c>
      <c r="G157">
        <v>1037.8</v>
      </c>
      <c r="H157">
        <v>20</v>
      </c>
      <c r="I157" t="str">
        <f>IF(Sales[[#This Row],[Discount]]&lt;=10,"0-10%",IF(Sales[[#This Row],[Discount]]&lt;=20,"10-20%","20-30%"))</f>
        <v>10-20%</v>
      </c>
      <c r="J157">
        <v>532.58000000000004</v>
      </c>
      <c r="K157" t="s">
        <v>262</v>
      </c>
      <c r="L157" t="s">
        <v>265</v>
      </c>
      <c r="M157">
        <f t="shared" si="14"/>
        <v>1065.1600000000001</v>
      </c>
      <c r="N157">
        <f t="shared" si="15"/>
        <v>1660.48</v>
      </c>
      <c r="O157">
        <f t="shared" si="16"/>
        <v>595.31999999999994</v>
      </c>
      <c r="P157" s="2">
        <f t="shared" si="17"/>
        <v>0.35852283677009056</v>
      </c>
      <c r="Q157" t="str">
        <f t="shared" si="18"/>
        <v>Weekend</v>
      </c>
      <c r="R157" t="str">
        <f t="shared" si="19"/>
        <v>Dec</v>
      </c>
      <c r="S157">
        <f t="shared" si="20"/>
        <v>2023</v>
      </c>
    </row>
    <row r="158" spans="1:19" x14ac:dyDescent="0.25">
      <c r="A158">
        <v>100156</v>
      </c>
      <c r="B158" s="1">
        <v>45179</v>
      </c>
      <c r="C158" t="s">
        <v>56</v>
      </c>
      <c r="D158" t="s">
        <v>163</v>
      </c>
      <c r="E158" t="s">
        <v>256</v>
      </c>
      <c r="F158">
        <v>4</v>
      </c>
      <c r="G158">
        <v>4089.15</v>
      </c>
      <c r="H158">
        <v>20</v>
      </c>
      <c r="I158" t="str">
        <f>IF(Sales[[#This Row],[Discount]]&lt;=10,"0-10%",IF(Sales[[#This Row],[Discount]]&lt;=20,"10-20%","20-30%"))</f>
        <v>10-20%</v>
      </c>
      <c r="J158">
        <v>2553.58</v>
      </c>
      <c r="K158" t="s">
        <v>261</v>
      </c>
      <c r="L158" t="s">
        <v>264</v>
      </c>
      <c r="M158">
        <f t="shared" si="14"/>
        <v>10214.32</v>
      </c>
      <c r="N158">
        <f t="shared" si="15"/>
        <v>13085.28</v>
      </c>
      <c r="O158">
        <f t="shared" si="16"/>
        <v>2870.9600000000009</v>
      </c>
      <c r="P158" s="2">
        <f t="shared" si="17"/>
        <v>0.21940378807331604</v>
      </c>
      <c r="Q158" t="str">
        <f t="shared" si="18"/>
        <v>Weekend</v>
      </c>
      <c r="R158" t="str">
        <f t="shared" si="19"/>
        <v>Sep</v>
      </c>
      <c r="S158">
        <f t="shared" si="20"/>
        <v>2023</v>
      </c>
    </row>
    <row r="159" spans="1:19" x14ac:dyDescent="0.25">
      <c r="A159">
        <v>100157</v>
      </c>
      <c r="B159" s="1">
        <v>45452</v>
      </c>
      <c r="C159" t="s">
        <v>57</v>
      </c>
      <c r="D159" t="s">
        <v>84</v>
      </c>
      <c r="E159" t="s">
        <v>259</v>
      </c>
      <c r="F159">
        <v>3</v>
      </c>
      <c r="G159">
        <v>2821.98</v>
      </c>
      <c r="H159">
        <v>30</v>
      </c>
      <c r="I159" t="str">
        <f>IF(Sales[[#This Row],[Discount]]&lt;=10,"0-10%",IF(Sales[[#This Row],[Discount]]&lt;=20,"10-20%","20-30%"))</f>
        <v>20-30%</v>
      </c>
      <c r="J159">
        <v>1911.08</v>
      </c>
      <c r="K159" t="s">
        <v>261</v>
      </c>
      <c r="L159" t="s">
        <v>266</v>
      </c>
      <c r="M159">
        <f t="shared" si="14"/>
        <v>5733.24</v>
      </c>
      <c r="N159">
        <f t="shared" si="15"/>
        <v>5926.1580000000004</v>
      </c>
      <c r="O159">
        <f t="shared" si="16"/>
        <v>192.91800000000057</v>
      </c>
      <c r="P159" s="2">
        <f t="shared" si="17"/>
        <v>3.2553637618166875E-2</v>
      </c>
      <c r="Q159" t="str">
        <f t="shared" si="18"/>
        <v>Weekend</v>
      </c>
      <c r="R159" t="str">
        <f t="shared" si="19"/>
        <v>Jun</v>
      </c>
      <c r="S159">
        <f t="shared" si="20"/>
        <v>2024</v>
      </c>
    </row>
    <row r="160" spans="1:19" x14ac:dyDescent="0.25">
      <c r="A160">
        <v>100158</v>
      </c>
      <c r="B160" s="1">
        <v>45592</v>
      </c>
      <c r="C160" t="s">
        <v>42</v>
      </c>
      <c r="D160" t="s">
        <v>146</v>
      </c>
      <c r="E160" t="s">
        <v>256</v>
      </c>
      <c r="F160">
        <v>3</v>
      </c>
      <c r="G160">
        <v>2796.95</v>
      </c>
      <c r="H160">
        <v>10</v>
      </c>
      <c r="I160" t="str">
        <f>IF(Sales[[#This Row],[Discount]]&lt;=10,"0-10%",IF(Sales[[#This Row],[Discount]]&lt;=20,"10-20%","20-30%"))</f>
        <v>0-10%</v>
      </c>
      <c r="J160">
        <v>1723.35</v>
      </c>
      <c r="K160" t="s">
        <v>261</v>
      </c>
      <c r="L160" t="s">
        <v>266</v>
      </c>
      <c r="M160">
        <f t="shared" si="14"/>
        <v>5170.0499999999993</v>
      </c>
      <c r="N160">
        <f t="shared" si="15"/>
        <v>7551.7649999999985</v>
      </c>
      <c r="O160">
        <f t="shared" si="16"/>
        <v>2381.7149999999992</v>
      </c>
      <c r="P160" s="2">
        <f t="shared" si="17"/>
        <v>0.31538521127180197</v>
      </c>
      <c r="Q160" t="str">
        <f t="shared" si="18"/>
        <v>Weekend</v>
      </c>
      <c r="R160" t="str">
        <f t="shared" si="19"/>
        <v>Oct</v>
      </c>
      <c r="S160">
        <f t="shared" si="20"/>
        <v>2024</v>
      </c>
    </row>
    <row r="161" spans="1:19" x14ac:dyDescent="0.25">
      <c r="A161">
        <v>100159</v>
      </c>
      <c r="B161" s="1">
        <v>45549</v>
      </c>
      <c r="C161" t="s">
        <v>18</v>
      </c>
      <c r="D161" t="s">
        <v>164</v>
      </c>
      <c r="E161" t="s">
        <v>260</v>
      </c>
      <c r="F161">
        <v>3</v>
      </c>
      <c r="G161">
        <v>1486.45</v>
      </c>
      <c r="H161">
        <v>25</v>
      </c>
      <c r="I161" t="str">
        <f>IF(Sales[[#This Row],[Discount]]&lt;=10,"0-10%",IF(Sales[[#This Row],[Discount]]&lt;=20,"10-20%","20-30%"))</f>
        <v>20-30%</v>
      </c>
      <c r="J161">
        <v>912.69</v>
      </c>
      <c r="K161" t="s">
        <v>268</v>
      </c>
      <c r="L161" t="s">
        <v>266</v>
      </c>
      <c r="M161">
        <f t="shared" si="14"/>
        <v>2738.07</v>
      </c>
      <c r="N161">
        <f t="shared" si="15"/>
        <v>3344.5125000000003</v>
      </c>
      <c r="O161">
        <f t="shared" si="16"/>
        <v>606.44250000000011</v>
      </c>
      <c r="P161" s="2">
        <f t="shared" si="17"/>
        <v>0.18132463251370717</v>
      </c>
      <c r="Q161" t="str">
        <f t="shared" si="18"/>
        <v>Weekend</v>
      </c>
      <c r="R161" t="str">
        <f t="shared" si="19"/>
        <v>Sep</v>
      </c>
      <c r="S161">
        <f t="shared" si="20"/>
        <v>2024</v>
      </c>
    </row>
    <row r="162" spans="1:19" x14ac:dyDescent="0.25">
      <c r="A162">
        <v>100160</v>
      </c>
      <c r="B162" s="1">
        <v>45200</v>
      </c>
      <c r="C162" t="s">
        <v>40</v>
      </c>
      <c r="D162" t="s">
        <v>165</v>
      </c>
      <c r="E162" t="s">
        <v>256</v>
      </c>
      <c r="F162">
        <v>2</v>
      </c>
      <c r="G162">
        <v>3823.2</v>
      </c>
      <c r="H162">
        <v>0</v>
      </c>
      <c r="I162" t="str">
        <f>IF(Sales[[#This Row],[Discount]]&lt;=10,"0-10%",IF(Sales[[#This Row],[Discount]]&lt;=20,"10-20%","20-30%"))</f>
        <v>0-10%</v>
      </c>
      <c r="J162">
        <v>1564.23</v>
      </c>
      <c r="K162" t="s">
        <v>262</v>
      </c>
      <c r="L162" t="s">
        <v>263</v>
      </c>
      <c r="M162">
        <f t="shared" si="14"/>
        <v>3128.46</v>
      </c>
      <c r="N162">
        <f t="shared" si="15"/>
        <v>7646.4</v>
      </c>
      <c r="O162">
        <f t="shared" si="16"/>
        <v>4517.9399999999996</v>
      </c>
      <c r="P162" s="2">
        <f t="shared" si="17"/>
        <v>0.59085844318895164</v>
      </c>
      <c r="Q162" t="str">
        <f t="shared" si="18"/>
        <v>Weekend</v>
      </c>
      <c r="R162" t="str">
        <f t="shared" si="19"/>
        <v>Oct</v>
      </c>
      <c r="S162">
        <f t="shared" si="20"/>
        <v>2023</v>
      </c>
    </row>
    <row r="163" spans="1:19" x14ac:dyDescent="0.25">
      <c r="A163">
        <v>100161</v>
      </c>
      <c r="B163" s="1">
        <v>45557</v>
      </c>
      <c r="C163" t="s">
        <v>42</v>
      </c>
      <c r="D163" t="s">
        <v>84</v>
      </c>
      <c r="E163" t="s">
        <v>260</v>
      </c>
      <c r="F163">
        <v>3</v>
      </c>
      <c r="G163">
        <v>2166.67</v>
      </c>
      <c r="H163">
        <v>30</v>
      </c>
      <c r="I163" t="str">
        <f>IF(Sales[[#This Row],[Discount]]&lt;=10,"0-10%",IF(Sales[[#This Row],[Discount]]&lt;=20,"10-20%","20-30%"))</f>
        <v>20-30%</v>
      </c>
      <c r="J163">
        <v>934.83</v>
      </c>
      <c r="K163" t="s">
        <v>262</v>
      </c>
      <c r="L163" t="s">
        <v>267</v>
      </c>
      <c r="M163">
        <f t="shared" si="14"/>
        <v>2804.4900000000002</v>
      </c>
      <c r="N163">
        <f t="shared" si="15"/>
        <v>4550.0069999999996</v>
      </c>
      <c r="O163">
        <f t="shared" si="16"/>
        <v>1745.5169999999994</v>
      </c>
      <c r="P163" s="2">
        <f t="shared" si="17"/>
        <v>0.38362951969084874</v>
      </c>
      <c r="Q163" t="str">
        <f t="shared" si="18"/>
        <v>Weekend</v>
      </c>
      <c r="R163" t="str">
        <f t="shared" si="19"/>
        <v>Sep</v>
      </c>
      <c r="S163">
        <f t="shared" si="20"/>
        <v>2024</v>
      </c>
    </row>
    <row r="164" spans="1:19" x14ac:dyDescent="0.25">
      <c r="A164">
        <v>100162</v>
      </c>
      <c r="B164" s="1">
        <v>45012</v>
      </c>
      <c r="C164" t="s">
        <v>56</v>
      </c>
      <c r="D164" t="s">
        <v>142</v>
      </c>
      <c r="E164" t="s">
        <v>257</v>
      </c>
      <c r="F164">
        <v>2</v>
      </c>
      <c r="G164">
        <v>2950.64</v>
      </c>
      <c r="H164">
        <v>0</v>
      </c>
      <c r="I164" t="str">
        <f>IF(Sales[[#This Row],[Discount]]&lt;=10,"0-10%",IF(Sales[[#This Row],[Discount]]&lt;=20,"10-20%","20-30%"))</f>
        <v>0-10%</v>
      </c>
      <c r="J164">
        <v>1924.45</v>
      </c>
      <c r="K164" t="s">
        <v>262</v>
      </c>
      <c r="L164" t="s">
        <v>265</v>
      </c>
      <c r="M164">
        <f t="shared" si="14"/>
        <v>3848.9</v>
      </c>
      <c r="N164">
        <f t="shared" si="15"/>
        <v>5901.28</v>
      </c>
      <c r="O164">
        <f t="shared" si="16"/>
        <v>2052.3799999999997</v>
      </c>
      <c r="P164" s="2">
        <f t="shared" si="17"/>
        <v>0.34778556516552339</v>
      </c>
      <c r="Q164" t="str">
        <f t="shared" si="18"/>
        <v>Weekday</v>
      </c>
      <c r="R164" t="str">
        <f t="shared" si="19"/>
        <v>Mar</v>
      </c>
      <c r="S164">
        <f t="shared" si="20"/>
        <v>2023</v>
      </c>
    </row>
    <row r="165" spans="1:19" x14ac:dyDescent="0.25">
      <c r="A165">
        <v>100163</v>
      </c>
      <c r="B165" s="1">
        <v>44951</v>
      </c>
      <c r="C165" t="s">
        <v>16</v>
      </c>
      <c r="D165" t="s">
        <v>103</v>
      </c>
      <c r="E165" t="s">
        <v>255</v>
      </c>
      <c r="F165">
        <v>4</v>
      </c>
      <c r="G165">
        <v>1396.12</v>
      </c>
      <c r="H165">
        <v>20</v>
      </c>
      <c r="I165" t="str">
        <f>IF(Sales[[#This Row],[Discount]]&lt;=10,"0-10%",IF(Sales[[#This Row],[Discount]]&lt;=20,"10-20%","20-30%"))</f>
        <v>10-20%</v>
      </c>
      <c r="J165">
        <v>702.08</v>
      </c>
      <c r="K165" t="s">
        <v>268</v>
      </c>
      <c r="L165" t="s">
        <v>263</v>
      </c>
      <c r="M165">
        <f t="shared" si="14"/>
        <v>2808.32</v>
      </c>
      <c r="N165">
        <f t="shared" si="15"/>
        <v>4467.5839999999998</v>
      </c>
      <c r="O165">
        <f t="shared" si="16"/>
        <v>1659.2639999999997</v>
      </c>
      <c r="P165" s="2">
        <f t="shared" si="17"/>
        <v>0.37140073919147343</v>
      </c>
      <c r="Q165" t="str">
        <f t="shared" si="18"/>
        <v>Weekday</v>
      </c>
      <c r="R165" t="str">
        <f t="shared" si="19"/>
        <v>Jan</v>
      </c>
      <c r="S165">
        <f t="shared" si="20"/>
        <v>2023</v>
      </c>
    </row>
    <row r="166" spans="1:19" x14ac:dyDescent="0.25">
      <c r="A166">
        <v>100164</v>
      </c>
      <c r="B166" s="1">
        <v>45037</v>
      </c>
      <c r="C166" t="s">
        <v>23</v>
      </c>
      <c r="D166" t="s">
        <v>166</v>
      </c>
      <c r="E166" t="s">
        <v>260</v>
      </c>
      <c r="F166">
        <v>2</v>
      </c>
      <c r="G166">
        <v>4009.1</v>
      </c>
      <c r="H166">
        <v>20</v>
      </c>
      <c r="I166" t="str">
        <f>IF(Sales[[#This Row],[Discount]]&lt;=10,"0-10%",IF(Sales[[#This Row],[Discount]]&lt;=20,"10-20%","20-30%"))</f>
        <v>10-20%</v>
      </c>
      <c r="J166">
        <v>2203.13</v>
      </c>
      <c r="K166" t="s">
        <v>261</v>
      </c>
      <c r="L166" t="s">
        <v>267</v>
      </c>
      <c r="M166">
        <f t="shared" si="14"/>
        <v>4406.26</v>
      </c>
      <c r="N166">
        <f t="shared" si="15"/>
        <v>6414.56</v>
      </c>
      <c r="O166">
        <f t="shared" si="16"/>
        <v>2008.3000000000002</v>
      </c>
      <c r="P166" s="2">
        <f t="shared" si="17"/>
        <v>0.3130846075178968</v>
      </c>
      <c r="Q166" t="str">
        <f t="shared" si="18"/>
        <v>Weekday</v>
      </c>
      <c r="R166" t="str">
        <f t="shared" si="19"/>
        <v>Apr</v>
      </c>
      <c r="S166">
        <f t="shared" si="20"/>
        <v>2023</v>
      </c>
    </row>
    <row r="167" spans="1:19" x14ac:dyDescent="0.25">
      <c r="A167">
        <v>100165</v>
      </c>
      <c r="B167" s="1">
        <v>45295</v>
      </c>
      <c r="C167" t="s">
        <v>35</v>
      </c>
      <c r="D167" t="s">
        <v>153</v>
      </c>
      <c r="E167" t="s">
        <v>254</v>
      </c>
      <c r="F167">
        <v>2</v>
      </c>
      <c r="G167">
        <v>3058.15</v>
      </c>
      <c r="H167">
        <v>25</v>
      </c>
      <c r="I167" t="str">
        <f>IF(Sales[[#This Row],[Discount]]&lt;=10,"0-10%",IF(Sales[[#This Row],[Discount]]&lt;=20,"10-20%","20-30%"))</f>
        <v>20-30%</v>
      </c>
      <c r="J167">
        <v>1907.16</v>
      </c>
      <c r="K167" t="s">
        <v>268</v>
      </c>
      <c r="L167" t="s">
        <v>266</v>
      </c>
      <c r="M167">
        <f t="shared" si="14"/>
        <v>3814.32</v>
      </c>
      <c r="N167">
        <f t="shared" si="15"/>
        <v>4587.2250000000004</v>
      </c>
      <c r="O167">
        <f t="shared" si="16"/>
        <v>772.9050000000002</v>
      </c>
      <c r="P167" s="2">
        <f t="shared" si="17"/>
        <v>0.16849075421414911</v>
      </c>
      <c r="Q167" t="str">
        <f t="shared" si="18"/>
        <v>Weekday</v>
      </c>
      <c r="R167" t="str">
        <f t="shared" si="19"/>
        <v>Jan</v>
      </c>
      <c r="S167">
        <f t="shared" si="20"/>
        <v>2024</v>
      </c>
    </row>
    <row r="168" spans="1:19" x14ac:dyDescent="0.25">
      <c r="A168">
        <v>100166</v>
      </c>
      <c r="B168" s="1">
        <v>45208</v>
      </c>
      <c r="C168" t="s">
        <v>26</v>
      </c>
      <c r="D168" t="s">
        <v>167</v>
      </c>
      <c r="E168" t="s">
        <v>255</v>
      </c>
      <c r="F168">
        <v>2</v>
      </c>
      <c r="G168">
        <v>1633.75</v>
      </c>
      <c r="H168">
        <v>25</v>
      </c>
      <c r="I168" t="str">
        <f>IF(Sales[[#This Row],[Discount]]&lt;=10,"0-10%",IF(Sales[[#This Row],[Discount]]&lt;=20,"10-20%","20-30%"))</f>
        <v>20-30%</v>
      </c>
      <c r="J168">
        <v>831.46</v>
      </c>
      <c r="K168" t="s">
        <v>261</v>
      </c>
      <c r="L168" t="s">
        <v>266</v>
      </c>
      <c r="M168">
        <f t="shared" si="14"/>
        <v>1662.92</v>
      </c>
      <c r="N168">
        <f t="shared" si="15"/>
        <v>2450.625</v>
      </c>
      <c r="O168">
        <f t="shared" si="16"/>
        <v>787.70499999999993</v>
      </c>
      <c r="P168" s="2">
        <f t="shared" si="17"/>
        <v>0.32143024738587095</v>
      </c>
      <c r="Q168" t="str">
        <f t="shared" si="18"/>
        <v>Weekday</v>
      </c>
      <c r="R168" t="str">
        <f t="shared" si="19"/>
        <v>Oct</v>
      </c>
      <c r="S168">
        <f t="shared" si="20"/>
        <v>2023</v>
      </c>
    </row>
    <row r="169" spans="1:19" x14ac:dyDescent="0.25">
      <c r="A169">
        <v>100167</v>
      </c>
      <c r="B169" s="1">
        <v>45303</v>
      </c>
      <c r="C169" t="s">
        <v>16</v>
      </c>
      <c r="D169" t="s">
        <v>125</v>
      </c>
      <c r="E169" t="s">
        <v>259</v>
      </c>
      <c r="F169">
        <v>2</v>
      </c>
      <c r="G169">
        <v>1448.46</v>
      </c>
      <c r="H169">
        <v>20</v>
      </c>
      <c r="I169" t="str">
        <f>IF(Sales[[#This Row],[Discount]]&lt;=10,"0-10%",IF(Sales[[#This Row],[Discount]]&lt;=20,"10-20%","20-30%"))</f>
        <v>10-20%</v>
      </c>
      <c r="J169">
        <v>795.89</v>
      </c>
      <c r="K169" t="s">
        <v>268</v>
      </c>
      <c r="L169" t="s">
        <v>263</v>
      </c>
      <c r="M169">
        <f t="shared" si="14"/>
        <v>1591.78</v>
      </c>
      <c r="N169">
        <f t="shared" si="15"/>
        <v>2317.5360000000001</v>
      </c>
      <c r="O169">
        <f t="shared" si="16"/>
        <v>725.75600000000009</v>
      </c>
      <c r="P169" s="2">
        <f t="shared" si="17"/>
        <v>0.31315845794844183</v>
      </c>
      <c r="Q169" t="str">
        <f t="shared" si="18"/>
        <v>Weekday</v>
      </c>
      <c r="R169" t="str">
        <f t="shared" si="19"/>
        <v>Jan</v>
      </c>
      <c r="S169">
        <f t="shared" si="20"/>
        <v>2024</v>
      </c>
    </row>
    <row r="170" spans="1:19" x14ac:dyDescent="0.25">
      <c r="A170">
        <v>100168</v>
      </c>
      <c r="B170" s="1">
        <v>45429</v>
      </c>
      <c r="C170" t="s">
        <v>44</v>
      </c>
      <c r="D170" t="s">
        <v>101</v>
      </c>
      <c r="E170" t="s">
        <v>254</v>
      </c>
      <c r="F170">
        <v>1</v>
      </c>
      <c r="G170">
        <v>778.38</v>
      </c>
      <c r="H170">
        <v>25</v>
      </c>
      <c r="I170" t="str">
        <f>IF(Sales[[#This Row],[Discount]]&lt;=10,"0-10%",IF(Sales[[#This Row],[Discount]]&lt;=20,"10-20%","20-30%"))</f>
        <v>20-30%</v>
      </c>
      <c r="J170">
        <v>347.05</v>
      </c>
      <c r="K170" t="s">
        <v>268</v>
      </c>
      <c r="L170" t="s">
        <v>263</v>
      </c>
      <c r="M170">
        <f t="shared" si="14"/>
        <v>347.05</v>
      </c>
      <c r="N170">
        <f t="shared" si="15"/>
        <v>583.78499999999997</v>
      </c>
      <c r="O170">
        <f t="shared" si="16"/>
        <v>236.73499999999996</v>
      </c>
      <c r="P170" s="2">
        <f t="shared" si="17"/>
        <v>0.40551744220903241</v>
      </c>
      <c r="Q170" t="str">
        <f t="shared" si="18"/>
        <v>Weekday</v>
      </c>
      <c r="R170" t="str">
        <f t="shared" si="19"/>
        <v>May</v>
      </c>
      <c r="S170">
        <f t="shared" si="20"/>
        <v>2024</v>
      </c>
    </row>
    <row r="171" spans="1:19" x14ac:dyDescent="0.25">
      <c r="A171">
        <v>100169</v>
      </c>
      <c r="B171" s="1">
        <v>45276</v>
      </c>
      <c r="C171" t="s">
        <v>14</v>
      </c>
      <c r="D171" t="s">
        <v>168</v>
      </c>
      <c r="E171" t="s">
        <v>254</v>
      </c>
      <c r="F171">
        <v>4</v>
      </c>
      <c r="G171">
        <v>4298.84</v>
      </c>
      <c r="H171">
        <v>15</v>
      </c>
      <c r="I171" t="str">
        <f>IF(Sales[[#This Row],[Discount]]&lt;=10,"0-10%",IF(Sales[[#This Row],[Discount]]&lt;=20,"10-20%","20-30%"))</f>
        <v>10-20%</v>
      </c>
      <c r="J171">
        <v>1832.88</v>
      </c>
      <c r="K171" t="s">
        <v>261</v>
      </c>
      <c r="L171" t="s">
        <v>266</v>
      </c>
      <c r="M171">
        <f t="shared" si="14"/>
        <v>7331.52</v>
      </c>
      <c r="N171">
        <f t="shared" si="15"/>
        <v>14616.056</v>
      </c>
      <c r="O171">
        <f t="shared" si="16"/>
        <v>7284.5360000000001</v>
      </c>
      <c r="P171" s="2">
        <f t="shared" si="17"/>
        <v>0.49839272646464955</v>
      </c>
      <c r="Q171" t="str">
        <f t="shared" si="18"/>
        <v>Weekend</v>
      </c>
      <c r="R171" t="str">
        <f t="shared" si="19"/>
        <v>Dec</v>
      </c>
      <c r="S171">
        <f t="shared" si="20"/>
        <v>2023</v>
      </c>
    </row>
    <row r="172" spans="1:19" x14ac:dyDescent="0.25">
      <c r="A172">
        <v>100170</v>
      </c>
      <c r="B172" s="1">
        <v>45169</v>
      </c>
      <c r="C172" t="s">
        <v>24</v>
      </c>
      <c r="D172" t="s">
        <v>169</v>
      </c>
      <c r="E172" t="s">
        <v>257</v>
      </c>
      <c r="F172">
        <v>4</v>
      </c>
      <c r="G172">
        <v>4514.8</v>
      </c>
      <c r="H172">
        <v>20</v>
      </c>
      <c r="I172" t="str">
        <f>IF(Sales[[#This Row],[Discount]]&lt;=10,"0-10%",IF(Sales[[#This Row],[Discount]]&lt;=20,"10-20%","20-30%"))</f>
        <v>10-20%</v>
      </c>
      <c r="J172">
        <v>1914.59</v>
      </c>
      <c r="K172" t="s">
        <v>262</v>
      </c>
      <c r="L172" t="s">
        <v>266</v>
      </c>
      <c r="M172">
        <f t="shared" si="14"/>
        <v>7658.36</v>
      </c>
      <c r="N172">
        <f t="shared" si="15"/>
        <v>14447.36</v>
      </c>
      <c r="O172">
        <f t="shared" si="16"/>
        <v>6789.0000000000009</v>
      </c>
      <c r="P172" s="2">
        <f t="shared" si="17"/>
        <v>0.46991284220784979</v>
      </c>
      <c r="Q172" t="str">
        <f t="shared" si="18"/>
        <v>Weekday</v>
      </c>
      <c r="R172" t="str">
        <f t="shared" si="19"/>
        <v>Aug</v>
      </c>
      <c r="S172">
        <f t="shared" si="20"/>
        <v>2023</v>
      </c>
    </row>
    <row r="173" spans="1:19" x14ac:dyDescent="0.25">
      <c r="A173">
        <v>100171</v>
      </c>
      <c r="B173" s="1">
        <v>44932</v>
      </c>
      <c r="C173" t="s">
        <v>32</v>
      </c>
      <c r="D173" t="s">
        <v>170</v>
      </c>
      <c r="E173" t="s">
        <v>256</v>
      </c>
      <c r="F173">
        <v>4</v>
      </c>
      <c r="G173">
        <v>3575.72</v>
      </c>
      <c r="H173">
        <v>15</v>
      </c>
      <c r="I173" t="str">
        <f>IF(Sales[[#This Row],[Discount]]&lt;=10,"0-10%",IF(Sales[[#This Row],[Discount]]&lt;=20,"10-20%","20-30%"))</f>
        <v>10-20%</v>
      </c>
      <c r="J173">
        <v>2500.06</v>
      </c>
      <c r="K173" t="s">
        <v>261</v>
      </c>
      <c r="L173" t="s">
        <v>265</v>
      </c>
      <c r="M173">
        <f t="shared" si="14"/>
        <v>10000.24</v>
      </c>
      <c r="N173">
        <f t="shared" si="15"/>
        <v>12157.447999999999</v>
      </c>
      <c r="O173">
        <f t="shared" si="16"/>
        <v>2157.2079999999987</v>
      </c>
      <c r="P173" s="2">
        <f t="shared" si="17"/>
        <v>0.17743921257158565</v>
      </c>
      <c r="Q173" t="str">
        <f t="shared" si="18"/>
        <v>Weekday</v>
      </c>
      <c r="R173" t="str">
        <f t="shared" si="19"/>
        <v>Jan</v>
      </c>
      <c r="S173">
        <f t="shared" si="20"/>
        <v>2023</v>
      </c>
    </row>
    <row r="174" spans="1:19" x14ac:dyDescent="0.25">
      <c r="A174">
        <v>100172</v>
      </c>
      <c r="B174" s="1">
        <v>45572</v>
      </c>
      <c r="C174" t="s">
        <v>18</v>
      </c>
      <c r="D174" t="s">
        <v>158</v>
      </c>
      <c r="E174" t="s">
        <v>259</v>
      </c>
      <c r="F174">
        <v>4</v>
      </c>
      <c r="G174">
        <v>4856.51</v>
      </c>
      <c r="H174">
        <v>10</v>
      </c>
      <c r="I174" t="str">
        <f>IF(Sales[[#This Row],[Discount]]&lt;=10,"0-10%",IF(Sales[[#This Row],[Discount]]&lt;=20,"10-20%","20-30%"))</f>
        <v>0-10%</v>
      </c>
      <c r="J174">
        <v>3203.61</v>
      </c>
      <c r="K174" t="s">
        <v>262</v>
      </c>
      <c r="L174" t="s">
        <v>264</v>
      </c>
      <c r="M174">
        <f t="shared" si="14"/>
        <v>12814.44</v>
      </c>
      <c r="N174">
        <f t="shared" si="15"/>
        <v>17483.436000000002</v>
      </c>
      <c r="O174">
        <f t="shared" si="16"/>
        <v>4668.996000000001</v>
      </c>
      <c r="P174" s="2">
        <f t="shared" si="17"/>
        <v>0.26705254047316562</v>
      </c>
      <c r="Q174" t="str">
        <f t="shared" si="18"/>
        <v>Weekday</v>
      </c>
      <c r="R174" t="str">
        <f t="shared" si="19"/>
        <v>Oct</v>
      </c>
      <c r="S174">
        <f t="shared" si="20"/>
        <v>2024</v>
      </c>
    </row>
    <row r="175" spans="1:19" x14ac:dyDescent="0.25">
      <c r="A175">
        <v>100173</v>
      </c>
      <c r="B175" s="1">
        <v>45500</v>
      </c>
      <c r="C175" t="s">
        <v>26</v>
      </c>
      <c r="D175" t="s">
        <v>171</v>
      </c>
      <c r="E175" t="s">
        <v>256</v>
      </c>
      <c r="F175">
        <v>1</v>
      </c>
      <c r="G175">
        <v>2606.52</v>
      </c>
      <c r="H175">
        <v>20</v>
      </c>
      <c r="I175" t="str">
        <f>IF(Sales[[#This Row],[Discount]]&lt;=10,"0-10%",IF(Sales[[#This Row],[Discount]]&lt;=20,"10-20%","20-30%"))</f>
        <v>10-20%</v>
      </c>
      <c r="J175">
        <v>1607.88</v>
      </c>
      <c r="K175" t="s">
        <v>268</v>
      </c>
      <c r="L175" t="s">
        <v>267</v>
      </c>
      <c r="M175">
        <f t="shared" si="14"/>
        <v>1607.88</v>
      </c>
      <c r="N175">
        <f t="shared" si="15"/>
        <v>2085.2159999999999</v>
      </c>
      <c r="O175">
        <f t="shared" si="16"/>
        <v>477.33599999999979</v>
      </c>
      <c r="P175" s="2">
        <f t="shared" si="17"/>
        <v>0.22891441462179449</v>
      </c>
      <c r="Q175" t="str">
        <f t="shared" si="18"/>
        <v>Weekend</v>
      </c>
      <c r="R175" t="str">
        <f t="shared" si="19"/>
        <v>Jul</v>
      </c>
      <c r="S175">
        <f t="shared" si="20"/>
        <v>2024</v>
      </c>
    </row>
    <row r="176" spans="1:19" x14ac:dyDescent="0.25">
      <c r="A176">
        <v>100174</v>
      </c>
      <c r="B176" s="1">
        <v>45361</v>
      </c>
      <c r="C176" t="s">
        <v>55</v>
      </c>
      <c r="D176" t="s">
        <v>172</v>
      </c>
      <c r="E176" t="s">
        <v>260</v>
      </c>
      <c r="F176">
        <v>2</v>
      </c>
      <c r="G176">
        <v>2916.79</v>
      </c>
      <c r="H176">
        <v>5</v>
      </c>
      <c r="I176" t="str">
        <f>IF(Sales[[#This Row],[Discount]]&lt;=10,"0-10%",IF(Sales[[#This Row],[Discount]]&lt;=20,"10-20%","20-30%"))</f>
        <v>0-10%</v>
      </c>
      <c r="J176">
        <v>1666.9</v>
      </c>
      <c r="K176" t="s">
        <v>261</v>
      </c>
      <c r="L176" t="s">
        <v>267</v>
      </c>
      <c r="M176">
        <f t="shared" si="14"/>
        <v>3333.8</v>
      </c>
      <c r="N176">
        <f t="shared" si="15"/>
        <v>5541.9009999999998</v>
      </c>
      <c r="O176">
        <f t="shared" si="16"/>
        <v>2208.1009999999997</v>
      </c>
      <c r="P176" s="2">
        <f t="shared" si="17"/>
        <v>0.39843746757655896</v>
      </c>
      <c r="Q176" t="str">
        <f t="shared" si="18"/>
        <v>Weekend</v>
      </c>
      <c r="R176" t="str">
        <f t="shared" si="19"/>
        <v>Mar</v>
      </c>
      <c r="S176">
        <f t="shared" si="20"/>
        <v>2024</v>
      </c>
    </row>
    <row r="177" spans="1:19" x14ac:dyDescent="0.25">
      <c r="A177">
        <v>100175</v>
      </c>
      <c r="B177" s="1">
        <v>45650</v>
      </c>
      <c r="C177" t="s">
        <v>56</v>
      </c>
      <c r="D177" t="s">
        <v>113</v>
      </c>
      <c r="E177" t="s">
        <v>258</v>
      </c>
      <c r="F177">
        <v>4</v>
      </c>
      <c r="G177">
        <v>1263.8599999999999</v>
      </c>
      <c r="H177">
        <v>0</v>
      </c>
      <c r="I177" t="str">
        <f>IF(Sales[[#This Row],[Discount]]&lt;=10,"0-10%",IF(Sales[[#This Row],[Discount]]&lt;=20,"10-20%","20-30%"))</f>
        <v>0-10%</v>
      </c>
      <c r="J177">
        <v>872.57</v>
      </c>
      <c r="K177" t="s">
        <v>262</v>
      </c>
      <c r="L177" t="s">
        <v>265</v>
      </c>
      <c r="M177">
        <f t="shared" si="14"/>
        <v>3490.28</v>
      </c>
      <c r="N177">
        <f t="shared" si="15"/>
        <v>5055.4399999999996</v>
      </c>
      <c r="O177">
        <f t="shared" si="16"/>
        <v>1565.1599999999994</v>
      </c>
      <c r="P177" s="2">
        <f t="shared" si="17"/>
        <v>0.30959916446441843</v>
      </c>
      <c r="Q177" t="str">
        <f t="shared" si="18"/>
        <v>Weekday</v>
      </c>
      <c r="R177" t="str">
        <f t="shared" si="19"/>
        <v>Dec</v>
      </c>
      <c r="S177">
        <f t="shared" si="20"/>
        <v>2024</v>
      </c>
    </row>
    <row r="178" spans="1:19" x14ac:dyDescent="0.25">
      <c r="A178">
        <v>100176</v>
      </c>
      <c r="B178" s="1">
        <v>45580</v>
      </c>
      <c r="C178" t="s">
        <v>53</v>
      </c>
      <c r="D178" t="s">
        <v>167</v>
      </c>
      <c r="E178" t="s">
        <v>259</v>
      </c>
      <c r="F178">
        <v>1</v>
      </c>
      <c r="G178">
        <v>2790.25</v>
      </c>
      <c r="H178">
        <v>20</v>
      </c>
      <c r="I178" t="str">
        <f>IF(Sales[[#This Row],[Discount]]&lt;=10,"0-10%",IF(Sales[[#This Row],[Discount]]&lt;=20,"10-20%","20-30%"))</f>
        <v>10-20%</v>
      </c>
      <c r="J178">
        <v>1708.1</v>
      </c>
      <c r="K178" t="s">
        <v>262</v>
      </c>
      <c r="L178" t="s">
        <v>267</v>
      </c>
      <c r="M178">
        <f t="shared" si="14"/>
        <v>1708.1</v>
      </c>
      <c r="N178">
        <f t="shared" si="15"/>
        <v>2232.2000000000003</v>
      </c>
      <c r="O178">
        <f t="shared" si="16"/>
        <v>524.10000000000036</v>
      </c>
      <c r="P178" s="2">
        <f t="shared" si="17"/>
        <v>0.23479078935579262</v>
      </c>
      <c r="Q178" t="str">
        <f t="shared" si="18"/>
        <v>Weekday</v>
      </c>
      <c r="R178" t="str">
        <f t="shared" si="19"/>
        <v>Oct</v>
      </c>
      <c r="S178">
        <f t="shared" si="20"/>
        <v>2024</v>
      </c>
    </row>
    <row r="179" spans="1:19" x14ac:dyDescent="0.25">
      <c r="A179">
        <v>100177</v>
      </c>
      <c r="B179" s="1">
        <v>45185</v>
      </c>
      <c r="C179" t="s">
        <v>39</v>
      </c>
      <c r="D179" t="s">
        <v>128</v>
      </c>
      <c r="E179" t="s">
        <v>260</v>
      </c>
      <c r="F179">
        <v>2</v>
      </c>
      <c r="G179">
        <v>3031.82</v>
      </c>
      <c r="H179">
        <v>0</v>
      </c>
      <c r="I179" t="str">
        <f>IF(Sales[[#This Row],[Discount]]&lt;=10,"0-10%",IF(Sales[[#This Row],[Discount]]&lt;=20,"10-20%","20-30%"))</f>
        <v>0-10%</v>
      </c>
      <c r="J179">
        <v>1353.13</v>
      </c>
      <c r="K179" t="s">
        <v>268</v>
      </c>
      <c r="L179" t="s">
        <v>265</v>
      </c>
      <c r="M179">
        <f t="shared" si="14"/>
        <v>2706.26</v>
      </c>
      <c r="N179">
        <f t="shared" si="15"/>
        <v>6063.64</v>
      </c>
      <c r="O179">
        <f t="shared" si="16"/>
        <v>3357.38</v>
      </c>
      <c r="P179" s="2">
        <f t="shared" si="17"/>
        <v>0.5536905225244243</v>
      </c>
      <c r="Q179" t="str">
        <f t="shared" si="18"/>
        <v>Weekend</v>
      </c>
      <c r="R179" t="str">
        <f t="shared" si="19"/>
        <v>Sep</v>
      </c>
      <c r="S179">
        <f t="shared" si="20"/>
        <v>2023</v>
      </c>
    </row>
    <row r="180" spans="1:19" x14ac:dyDescent="0.25">
      <c r="A180">
        <v>100178</v>
      </c>
      <c r="B180" s="1">
        <v>45576</v>
      </c>
      <c r="C180" t="s">
        <v>37</v>
      </c>
      <c r="D180" t="s">
        <v>69</v>
      </c>
      <c r="E180" t="s">
        <v>257</v>
      </c>
      <c r="F180">
        <v>2</v>
      </c>
      <c r="G180">
        <v>1882.04</v>
      </c>
      <c r="H180">
        <v>10</v>
      </c>
      <c r="I180" t="str">
        <f>IF(Sales[[#This Row],[Discount]]&lt;=10,"0-10%",IF(Sales[[#This Row],[Discount]]&lt;=20,"10-20%","20-30%"))</f>
        <v>0-10%</v>
      </c>
      <c r="J180">
        <v>828.71</v>
      </c>
      <c r="K180" t="s">
        <v>268</v>
      </c>
      <c r="L180" t="s">
        <v>266</v>
      </c>
      <c r="M180">
        <f t="shared" si="14"/>
        <v>1657.42</v>
      </c>
      <c r="N180">
        <f t="shared" si="15"/>
        <v>3387.672</v>
      </c>
      <c r="O180">
        <f t="shared" si="16"/>
        <v>1730.252</v>
      </c>
      <c r="P180" s="2">
        <f t="shared" si="17"/>
        <v>0.51074956489294121</v>
      </c>
      <c r="Q180" t="str">
        <f t="shared" si="18"/>
        <v>Weekday</v>
      </c>
      <c r="R180" t="str">
        <f t="shared" si="19"/>
        <v>Oct</v>
      </c>
      <c r="S180">
        <f t="shared" si="20"/>
        <v>2024</v>
      </c>
    </row>
    <row r="181" spans="1:19" x14ac:dyDescent="0.25">
      <c r="A181">
        <v>100179</v>
      </c>
      <c r="B181" s="1">
        <v>45247</v>
      </c>
      <c r="C181" t="s">
        <v>38</v>
      </c>
      <c r="D181" t="s">
        <v>173</v>
      </c>
      <c r="E181" t="s">
        <v>259</v>
      </c>
      <c r="F181">
        <v>2</v>
      </c>
      <c r="G181">
        <v>1815.06</v>
      </c>
      <c r="H181">
        <v>5</v>
      </c>
      <c r="I181" t="str">
        <f>IF(Sales[[#This Row],[Discount]]&lt;=10,"0-10%",IF(Sales[[#This Row],[Discount]]&lt;=20,"10-20%","20-30%"))</f>
        <v>0-10%</v>
      </c>
      <c r="J181">
        <v>1167.02</v>
      </c>
      <c r="K181" t="s">
        <v>268</v>
      </c>
      <c r="L181" t="s">
        <v>267</v>
      </c>
      <c r="M181">
        <f t="shared" si="14"/>
        <v>2334.04</v>
      </c>
      <c r="N181">
        <f t="shared" si="15"/>
        <v>3448.6139999999996</v>
      </c>
      <c r="O181">
        <f t="shared" si="16"/>
        <v>1114.5739999999996</v>
      </c>
      <c r="P181" s="2">
        <f t="shared" si="17"/>
        <v>0.32319476752109683</v>
      </c>
      <c r="Q181" t="str">
        <f t="shared" si="18"/>
        <v>Weekday</v>
      </c>
      <c r="R181" t="str">
        <f t="shared" si="19"/>
        <v>Nov</v>
      </c>
      <c r="S181">
        <f t="shared" si="20"/>
        <v>2023</v>
      </c>
    </row>
    <row r="182" spans="1:19" x14ac:dyDescent="0.25">
      <c r="A182">
        <v>100180</v>
      </c>
      <c r="B182" s="1">
        <v>45476</v>
      </c>
      <c r="C182" t="s">
        <v>34</v>
      </c>
      <c r="D182" t="s">
        <v>138</v>
      </c>
      <c r="E182" t="s">
        <v>260</v>
      </c>
      <c r="F182">
        <v>1</v>
      </c>
      <c r="G182">
        <v>312.74</v>
      </c>
      <c r="H182">
        <v>15</v>
      </c>
      <c r="I182" t="str">
        <f>IF(Sales[[#This Row],[Discount]]&lt;=10,"0-10%",IF(Sales[[#This Row],[Discount]]&lt;=20,"10-20%","20-30%"))</f>
        <v>10-20%</v>
      </c>
      <c r="J182">
        <v>136.04</v>
      </c>
      <c r="K182" t="s">
        <v>261</v>
      </c>
      <c r="L182" t="s">
        <v>267</v>
      </c>
      <c r="M182">
        <f t="shared" si="14"/>
        <v>136.04</v>
      </c>
      <c r="N182">
        <f t="shared" si="15"/>
        <v>265.82900000000001</v>
      </c>
      <c r="O182">
        <f t="shared" si="16"/>
        <v>129.78900000000002</v>
      </c>
      <c r="P182" s="2">
        <f t="shared" si="17"/>
        <v>0.48824244156958047</v>
      </c>
      <c r="Q182" t="str">
        <f t="shared" si="18"/>
        <v>Weekday</v>
      </c>
      <c r="R182" t="str">
        <f t="shared" si="19"/>
        <v>Jul</v>
      </c>
      <c r="S182">
        <f t="shared" si="20"/>
        <v>2024</v>
      </c>
    </row>
    <row r="183" spans="1:19" x14ac:dyDescent="0.25">
      <c r="A183">
        <v>100181</v>
      </c>
      <c r="B183" s="1">
        <v>45162</v>
      </c>
      <c r="C183" t="s">
        <v>58</v>
      </c>
      <c r="D183" t="s">
        <v>97</v>
      </c>
      <c r="E183" t="s">
        <v>257</v>
      </c>
      <c r="F183">
        <v>2</v>
      </c>
      <c r="G183">
        <v>801.49</v>
      </c>
      <c r="H183">
        <v>0</v>
      </c>
      <c r="I183" t="str">
        <f>IF(Sales[[#This Row],[Discount]]&lt;=10,"0-10%",IF(Sales[[#This Row],[Discount]]&lt;=20,"10-20%","20-30%"))</f>
        <v>0-10%</v>
      </c>
      <c r="J183">
        <v>525.15</v>
      </c>
      <c r="K183" t="s">
        <v>268</v>
      </c>
      <c r="L183" t="s">
        <v>267</v>
      </c>
      <c r="M183">
        <f t="shared" si="14"/>
        <v>1050.3</v>
      </c>
      <c r="N183">
        <f t="shared" si="15"/>
        <v>1602.98</v>
      </c>
      <c r="O183">
        <f t="shared" si="16"/>
        <v>552.68000000000006</v>
      </c>
      <c r="P183" s="2">
        <f t="shared" si="17"/>
        <v>0.34478284195685538</v>
      </c>
      <c r="Q183" t="str">
        <f t="shared" si="18"/>
        <v>Weekday</v>
      </c>
      <c r="R183" t="str">
        <f t="shared" si="19"/>
        <v>Aug</v>
      </c>
      <c r="S183">
        <f t="shared" si="20"/>
        <v>2023</v>
      </c>
    </row>
    <row r="184" spans="1:19" x14ac:dyDescent="0.25">
      <c r="A184">
        <v>100182</v>
      </c>
      <c r="B184" s="1">
        <v>45514</v>
      </c>
      <c r="C184" t="s">
        <v>22</v>
      </c>
      <c r="D184" t="s">
        <v>174</v>
      </c>
      <c r="E184" t="s">
        <v>260</v>
      </c>
      <c r="F184">
        <v>2</v>
      </c>
      <c r="G184">
        <v>4684.8100000000004</v>
      </c>
      <c r="H184">
        <v>20</v>
      </c>
      <c r="I184" t="str">
        <f>IF(Sales[[#This Row],[Discount]]&lt;=10,"0-10%",IF(Sales[[#This Row],[Discount]]&lt;=20,"10-20%","20-30%"))</f>
        <v>10-20%</v>
      </c>
      <c r="J184">
        <v>3266.62</v>
      </c>
      <c r="K184" t="s">
        <v>262</v>
      </c>
      <c r="L184" t="s">
        <v>264</v>
      </c>
      <c r="M184">
        <f t="shared" si="14"/>
        <v>6533.24</v>
      </c>
      <c r="N184">
        <f t="shared" si="15"/>
        <v>7495.6960000000008</v>
      </c>
      <c r="O184">
        <f t="shared" si="16"/>
        <v>962.45600000000104</v>
      </c>
      <c r="P184" s="2">
        <f t="shared" si="17"/>
        <v>0.1284011518076508</v>
      </c>
      <c r="Q184" t="str">
        <f t="shared" si="18"/>
        <v>Weekend</v>
      </c>
      <c r="R184" t="str">
        <f t="shared" si="19"/>
        <v>Aug</v>
      </c>
      <c r="S184">
        <f t="shared" si="20"/>
        <v>2024</v>
      </c>
    </row>
    <row r="185" spans="1:19" x14ac:dyDescent="0.25">
      <c r="A185">
        <v>100183</v>
      </c>
      <c r="B185" s="1">
        <v>45275</v>
      </c>
      <c r="C185" t="s">
        <v>17</v>
      </c>
      <c r="D185" t="s">
        <v>175</v>
      </c>
      <c r="E185" t="s">
        <v>256</v>
      </c>
      <c r="F185">
        <v>1</v>
      </c>
      <c r="G185">
        <v>3783.27</v>
      </c>
      <c r="H185">
        <v>5</v>
      </c>
      <c r="I185" t="str">
        <f>IF(Sales[[#This Row],[Discount]]&lt;=10,"0-10%",IF(Sales[[#This Row],[Discount]]&lt;=20,"10-20%","20-30%"))</f>
        <v>0-10%</v>
      </c>
      <c r="J185">
        <v>2165.3200000000002</v>
      </c>
      <c r="K185" t="s">
        <v>268</v>
      </c>
      <c r="L185" t="s">
        <v>263</v>
      </c>
      <c r="M185">
        <f t="shared" si="14"/>
        <v>2165.3200000000002</v>
      </c>
      <c r="N185">
        <f t="shared" si="15"/>
        <v>3594.1064999999999</v>
      </c>
      <c r="O185">
        <f t="shared" si="16"/>
        <v>1428.7864999999997</v>
      </c>
      <c r="P185" s="2">
        <f t="shared" si="17"/>
        <v>0.39753593834795931</v>
      </c>
      <c r="Q185" t="str">
        <f t="shared" si="18"/>
        <v>Weekday</v>
      </c>
      <c r="R185" t="str">
        <f t="shared" si="19"/>
        <v>Dec</v>
      </c>
      <c r="S185">
        <f t="shared" si="20"/>
        <v>2023</v>
      </c>
    </row>
    <row r="186" spans="1:19" x14ac:dyDescent="0.25">
      <c r="A186">
        <v>100184</v>
      </c>
      <c r="B186" s="1">
        <v>45217</v>
      </c>
      <c r="C186" t="s">
        <v>23</v>
      </c>
      <c r="D186" t="s">
        <v>176</v>
      </c>
      <c r="E186" t="s">
        <v>259</v>
      </c>
      <c r="F186">
        <v>3</v>
      </c>
      <c r="G186">
        <v>4037.76</v>
      </c>
      <c r="H186">
        <v>20</v>
      </c>
      <c r="I186" t="str">
        <f>IF(Sales[[#This Row],[Discount]]&lt;=10,"0-10%",IF(Sales[[#This Row],[Discount]]&lt;=20,"10-20%","20-30%"))</f>
        <v>10-20%</v>
      </c>
      <c r="J186">
        <v>1859.34</v>
      </c>
      <c r="K186" t="s">
        <v>262</v>
      </c>
      <c r="L186" t="s">
        <v>263</v>
      </c>
      <c r="M186">
        <f t="shared" si="14"/>
        <v>5578.0199999999995</v>
      </c>
      <c r="N186">
        <f t="shared" si="15"/>
        <v>9690.6240000000016</v>
      </c>
      <c r="O186">
        <f t="shared" si="16"/>
        <v>4112.6040000000021</v>
      </c>
      <c r="P186" s="2">
        <f t="shared" si="17"/>
        <v>0.42439000832144569</v>
      </c>
      <c r="Q186" t="str">
        <f t="shared" si="18"/>
        <v>Weekday</v>
      </c>
      <c r="R186" t="str">
        <f t="shared" si="19"/>
        <v>Oct</v>
      </c>
      <c r="S186">
        <f t="shared" si="20"/>
        <v>2023</v>
      </c>
    </row>
    <row r="187" spans="1:19" x14ac:dyDescent="0.25">
      <c r="A187">
        <v>100185</v>
      </c>
      <c r="B187" s="1">
        <v>45500</v>
      </c>
      <c r="C187" t="s">
        <v>15</v>
      </c>
      <c r="D187" t="s">
        <v>177</v>
      </c>
      <c r="E187" t="s">
        <v>259</v>
      </c>
      <c r="F187">
        <v>1</v>
      </c>
      <c r="G187">
        <v>1407.75</v>
      </c>
      <c r="H187">
        <v>10</v>
      </c>
      <c r="I187" t="str">
        <f>IF(Sales[[#This Row],[Discount]]&lt;=10,"0-10%",IF(Sales[[#This Row],[Discount]]&lt;=20,"10-20%","20-30%"))</f>
        <v>0-10%</v>
      </c>
      <c r="J187">
        <v>830.75</v>
      </c>
      <c r="K187" t="s">
        <v>262</v>
      </c>
      <c r="L187" t="s">
        <v>265</v>
      </c>
      <c r="M187">
        <f t="shared" si="14"/>
        <v>830.75</v>
      </c>
      <c r="N187">
        <f t="shared" si="15"/>
        <v>1266.9750000000001</v>
      </c>
      <c r="O187">
        <f t="shared" si="16"/>
        <v>436.22500000000014</v>
      </c>
      <c r="P187" s="2">
        <f t="shared" si="17"/>
        <v>0.3443043469681723</v>
      </c>
      <c r="Q187" t="str">
        <f t="shared" si="18"/>
        <v>Weekend</v>
      </c>
      <c r="R187" t="str">
        <f t="shared" si="19"/>
        <v>Jul</v>
      </c>
      <c r="S187">
        <f t="shared" si="20"/>
        <v>2024</v>
      </c>
    </row>
    <row r="188" spans="1:19" x14ac:dyDescent="0.25">
      <c r="A188">
        <v>100186</v>
      </c>
      <c r="B188" s="1">
        <v>45222</v>
      </c>
      <c r="C188" t="s">
        <v>56</v>
      </c>
      <c r="D188" t="s">
        <v>175</v>
      </c>
      <c r="E188" t="s">
        <v>254</v>
      </c>
      <c r="F188">
        <v>1</v>
      </c>
      <c r="G188">
        <v>4422.84</v>
      </c>
      <c r="H188">
        <v>30</v>
      </c>
      <c r="I188" t="str">
        <f>IF(Sales[[#This Row],[Discount]]&lt;=10,"0-10%",IF(Sales[[#This Row],[Discount]]&lt;=20,"10-20%","20-30%"))</f>
        <v>20-30%</v>
      </c>
      <c r="J188">
        <v>2289.85</v>
      </c>
      <c r="K188" t="s">
        <v>268</v>
      </c>
      <c r="L188" t="s">
        <v>267</v>
      </c>
      <c r="M188">
        <f t="shared" si="14"/>
        <v>2289.85</v>
      </c>
      <c r="N188">
        <f t="shared" si="15"/>
        <v>3095.9879999999998</v>
      </c>
      <c r="O188">
        <f t="shared" si="16"/>
        <v>806.13799999999992</v>
      </c>
      <c r="P188" s="2">
        <f t="shared" si="17"/>
        <v>0.2603815001866932</v>
      </c>
      <c r="Q188" t="str">
        <f t="shared" si="18"/>
        <v>Weekday</v>
      </c>
      <c r="R188" t="str">
        <f t="shared" si="19"/>
        <v>Oct</v>
      </c>
      <c r="S188">
        <f t="shared" si="20"/>
        <v>2023</v>
      </c>
    </row>
    <row r="189" spans="1:19" x14ac:dyDescent="0.25">
      <c r="A189">
        <v>100187</v>
      </c>
      <c r="B189" s="1">
        <v>45563</v>
      </c>
      <c r="C189" t="s">
        <v>47</v>
      </c>
      <c r="D189" t="s">
        <v>178</v>
      </c>
      <c r="E189" t="s">
        <v>256</v>
      </c>
      <c r="F189">
        <v>3</v>
      </c>
      <c r="G189">
        <v>3654.78</v>
      </c>
      <c r="H189">
        <v>20</v>
      </c>
      <c r="I189" t="str">
        <f>IF(Sales[[#This Row],[Discount]]&lt;=10,"0-10%",IF(Sales[[#This Row],[Discount]]&lt;=20,"10-20%","20-30%"))</f>
        <v>10-20%</v>
      </c>
      <c r="J189">
        <v>2448.34</v>
      </c>
      <c r="K189" t="s">
        <v>261</v>
      </c>
      <c r="L189" t="s">
        <v>266</v>
      </c>
      <c r="M189">
        <f t="shared" si="14"/>
        <v>7345.02</v>
      </c>
      <c r="N189">
        <f t="shared" si="15"/>
        <v>8771.4719999999998</v>
      </c>
      <c r="O189">
        <f t="shared" si="16"/>
        <v>1426.4519999999993</v>
      </c>
      <c r="P189" s="2">
        <f t="shared" si="17"/>
        <v>0.16262401567262591</v>
      </c>
      <c r="Q189" t="str">
        <f t="shared" si="18"/>
        <v>Weekend</v>
      </c>
      <c r="R189" t="str">
        <f t="shared" si="19"/>
        <v>Sep</v>
      </c>
      <c r="S189">
        <f t="shared" si="20"/>
        <v>2024</v>
      </c>
    </row>
    <row r="190" spans="1:19" x14ac:dyDescent="0.25">
      <c r="A190">
        <v>100188</v>
      </c>
      <c r="B190" s="1">
        <v>45591</v>
      </c>
      <c r="C190" t="s">
        <v>39</v>
      </c>
      <c r="D190" t="s">
        <v>179</v>
      </c>
      <c r="E190" t="s">
        <v>254</v>
      </c>
      <c r="F190">
        <v>1</v>
      </c>
      <c r="G190">
        <v>3813.76</v>
      </c>
      <c r="H190">
        <v>0</v>
      </c>
      <c r="I190" t="str">
        <f>IF(Sales[[#This Row],[Discount]]&lt;=10,"0-10%",IF(Sales[[#This Row],[Discount]]&lt;=20,"10-20%","20-30%"))</f>
        <v>0-10%</v>
      </c>
      <c r="J190">
        <v>2100.6799999999998</v>
      </c>
      <c r="K190" t="s">
        <v>262</v>
      </c>
      <c r="L190" t="s">
        <v>266</v>
      </c>
      <c r="M190">
        <f t="shared" si="14"/>
        <v>2100.6799999999998</v>
      </c>
      <c r="N190">
        <f t="shared" si="15"/>
        <v>3813.76</v>
      </c>
      <c r="O190">
        <f t="shared" si="16"/>
        <v>1713.0800000000004</v>
      </c>
      <c r="P190" s="2">
        <f t="shared" si="17"/>
        <v>0.44918400738378927</v>
      </c>
      <c r="Q190" t="str">
        <f t="shared" si="18"/>
        <v>Weekend</v>
      </c>
      <c r="R190" t="str">
        <f t="shared" si="19"/>
        <v>Oct</v>
      </c>
      <c r="S190">
        <f t="shared" si="20"/>
        <v>2024</v>
      </c>
    </row>
    <row r="191" spans="1:19" x14ac:dyDescent="0.25">
      <c r="A191">
        <v>100189</v>
      </c>
      <c r="B191" s="1">
        <v>45542</v>
      </c>
      <c r="C191" t="s">
        <v>35</v>
      </c>
      <c r="D191" t="s">
        <v>180</v>
      </c>
      <c r="E191" t="s">
        <v>259</v>
      </c>
      <c r="F191">
        <v>1</v>
      </c>
      <c r="G191">
        <v>2139.9699999999998</v>
      </c>
      <c r="H191">
        <v>15</v>
      </c>
      <c r="I191" t="str">
        <f>IF(Sales[[#This Row],[Discount]]&lt;=10,"0-10%",IF(Sales[[#This Row],[Discount]]&lt;=20,"10-20%","20-30%"))</f>
        <v>10-20%</v>
      </c>
      <c r="J191">
        <v>1197.44</v>
      </c>
      <c r="K191" t="s">
        <v>268</v>
      </c>
      <c r="L191" t="s">
        <v>263</v>
      </c>
      <c r="M191">
        <f t="shared" si="14"/>
        <v>1197.44</v>
      </c>
      <c r="N191">
        <f t="shared" si="15"/>
        <v>1818.9744999999998</v>
      </c>
      <c r="O191">
        <f t="shared" si="16"/>
        <v>621.53449999999975</v>
      </c>
      <c r="P191" s="2">
        <f t="shared" si="17"/>
        <v>0.34169500452040413</v>
      </c>
      <c r="Q191" t="str">
        <f t="shared" si="18"/>
        <v>Weekend</v>
      </c>
      <c r="R191" t="str">
        <f t="shared" si="19"/>
        <v>Sep</v>
      </c>
      <c r="S191">
        <f t="shared" si="20"/>
        <v>2024</v>
      </c>
    </row>
    <row r="192" spans="1:19" x14ac:dyDescent="0.25">
      <c r="A192">
        <v>100190</v>
      </c>
      <c r="B192" s="1">
        <v>45505</v>
      </c>
      <c r="C192" t="s">
        <v>18</v>
      </c>
      <c r="D192" t="s">
        <v>181</v>
      </c>
      <c r="E192" t="s">
        <v>257</v>
      </c>
      <c r="F192">
        <v>3</v>
      </c>
      <c r="G192">
        <v>2851.39</v>
      </c>
      <c r="H192">
        <v>10</v>
      </c>
      <c r="I192" t="str">
        <f>IF(Sales[[#This Row],[Discount]]&lt;=10,"0-10%",IF(Sales[[#This Row],[Discount]]&lt;=20,"10-20%","20-30%"))</f>
        <v>0-10%</v>
      </c>
      <c r="J192">
        <v>1509.69</v>
      </c>
      <c r="K192" t="s">
        <v>262</v>
      </c>
      <c r="L192" t="s">
        <v>265</v>
      </c>
      <c r="M192">
        <f t="shared" si="14"/>
        <v>4529.07</v>
      </c>
      <c r="N192">
        <f t="shared" si="15"/>
        <v>7698.7530000000006</v>
      </c>
      <c r="O192">
        <f t="shared" si="16"/>
        <v>3169.6830000000009</v>
      </c>
      <c r="P192" s="2">
        <f t="shared" si="17"/>
        <v>0.41171381910810761</v>
      </c>
      <c r="Q192" t="str">
        <f t="shared" si="18"/>
        <v>Weekday</v>
      </c>
      <c r="R192" t="str">
        <f t="shared" si="19"/>
        <v>Aug</v>
      </c>
      <c r="S192">
        <f t="shared" si="20"/>
        <v>2024</v>
      </c>
    </row>
    <row r="193" spans="1:19" x14ac:dyDescent="0.25">
      <c r="A193">
        <v>100191</v>
      </c>
      <c r="B193" s="1">
        <v>44941</v>
      </c>
      <c r="C193" t="s">
        <v>25</v>
      </c>
      <c r="D193" t="s">
        <v>166</v>
      </c>
      <c r="E193" t="s">
        <v>257</v>
      </c>
      <c r="F193">
        <v>3</v>
      </c>
      <c r="G193">
        <v>1874.06</v>
      </c>
      <c r="H193">
        <v>0</v>
      </c>
      <c r="I193" t="str">
        <f>IF(Sales[[#This Row],[Discount]]&lt;=10,"0-10%",IF(Sales[[#This Row],[Discount]]&lt;=20,"10-20%","20-30%"))</f>
        <v>0-10%</v>
      </c>
      <c r="J193">
        <v>827.93</v>
      </c>
      <c r="K193" t="s">
        <v>261</v>
      </c>
      <c r="L193" t="s">
        <v>264</v>
      </c>
      <c r="M193">
        <f t="shared" si="14"/>
        <v>2483.79</v>
      </c>
      <c r="N193">
        <f t="shared" si="15"/>
        <v>5622.18</v>
      </c>
      <c r="O193">
        <f t="shared" si="16"/>
        <v>3138.3900000000003</v>
      </c>
      <c r="P193" s="2">
        <f t="shared" si="17"/>
        <v>0.5582158522139099</v>
      </c>
      <c r="Q193" t="str">
        <f t="shared" si="18"/>
        <v>Weekend</v>
      </c>
      <c r="R193" t="str">
        <f t="shared" si="19"/>
        <v>Jan</v>
      </c>
      <c r="S193">
        <f t="shared" si="20"/>
        <v>2023</v>
      </c>
    </row>
    <row r="194" spans="1:19" x14ac:dyDescent="0.25">
      <c r="A194">
        <v>100192</v>
      </c>
      <c r="B194" s="1">
        <v>45346</v>
      </c>
      <c r="C194" t="s">
        <v>56</v>
      </c>
      <c r="D194" t="s">
        <v>148</v>
      </c>
      <c r="E194" t="s">
        <v>259</v>
      </c>
      <c r="F194">
        <v>1</v>
      </c>
      <c r="G194">
        <v>2628.49</v>
      </c>
      <c r="H194">
        <v>20</v>
      </c>
      <c r="I194" t="str">
        <f>IF(Sales[[#This Row],[Discount]]&lt;=10,"0-10%",IF(Sales[[#This Row],[Discount]]&lt;=20,"10-20%","20-30%"))</f>
        <v>10-20%</v>
      </c>
      <c r="J194">
        <v>1636.07</v>
      </c>
      <c r="K194" t="s">
        <v>261</v>
      </c>
      <c r="L194" t="s">
        <v>266</v>
      </c>
      <c r="M194">
        <f t="shared" si="14"/>
        <v>1636.07</v>
      </c>
      <c r="N194">
        <f t="shared" si="15"/>
        <v>2102.7919999999999</v>
      </c>
      <c r="O194">
        <f t="shared" si="16"/>
        <v>466.72199999999998</v>
      </c>
      <c r="P194" s="2">
        <f t="shared" si="17"/>
        <v>0.22195347899364273</v>
      </c>
      <c r="Q194" t="str">
        <f t="shared" si="18"/>
        <v>Weekend</v>
      </c>
      <c r="R194" t="str">
        <f t="shared" si="19"/>
        <v>Feb</v>
      </c>
      <c r="S194">
        <f t="shared" si="20"/>
        <v>2024</v>
      </c>
    </row>
    <row r="195" spans="1:19" x14ac:dyDescent="0.25">
      <c r="A195">
        <v>100193</v>
      </c>
      <c r="B195" s="1">
        <v>45337</v>
      </c>
      <c r="C195" t="s">
        <v>18</v>
      </c>
      <c r="D195" t="s">
        <v>135</v>
      </c>
      <c r="E195" t="s">
        <v>260</v>
      </c>
      <c r="F195">
        <v>2</v>
      </c>
      <c r="G195">
        <v>3836.29</v>
      </c>
      <c r="H195">
        <v>30</v>
      </c>
      <c r="I195" t="str">
        <f>IF(Sales[[#This Row],[Discount]]&lt;=10,"0-10%",IF(Sales[[#This Row],[Discount]]&lt;=20,"10-20%","20-30%"))</f>
        <v>20-30%</v>
      </c>
      <c r="J195">
        <v>2348.17</v>
      </c>
      <c r="K195" t="s">
        <v>268</v>
      </c>
      <c r="L195" t="s">
        <v>267</v>
      </c>
      <c r="M195">
        <f t="shared" ref="M195:M258" si="21">F195*J195</f>
        <v>4696.34</v>
      </c>
      <c r="N195">
        <f t="shared" ref="N195:N258" si="22">F195*G195*(1-H195/100)</f>
        <v>5370.8059999999996</v>
      </c>
      <c r="O195">
        <f t="shared" ref="O195:O258" si="23">N195-M195</f>
        <v>674.46599999999944</v>
      </c>
      <c r="P195" s="2">
        <f t="shared" ref="P195:P258" si="24">O195/N195</f>
        <v>0.125580033983726</v>
      </c>
      <c r="Q195" t="str">
        <f t="shared" ref="Q195:Q258" si="25">IF(WEEKDAY(B195,2)&gt;5,"Weekend","Weekday")</f>
        <v>Weekday</v>
      </c>
      <c r="R195" t="str">
        <f t="shared" ref="R195:R258" si="26">TEXT(B195,"mmm")</f>
        <v>Feb</v>
      </c>
      <c r="S195">
        <f t="shared" ref="S195:S258" si="27">YEAR(B195)</f>
        <v>2024</v>
      </c>
    </row>
    <row r="196" spans="1:19" x14ac:dyDescent="0.25">
      <c r="A196">
        <v>100194</v>
      </c>
      <c r="B196" s="1">
        <v>45448</v>
      </c>
      <c r="C196" t="s">
        <v>19</v>
      </c>
      <c r="D196" t="s">
        <v>182</v>
      </c>
      <c r="E196" t="s">
        <v>260</v>
      </c>
      <c r="F196">
        <v>1</v>
      </c>
      <c r="G196">
        <v>457.6</v>
      </c>
      <c r="H196">
        <v>0</v>
      </c>
      <c r="I196" t="str">
        <f>IF(Sales[[#This Row],[Discount]]&lt;=10,"0-10%",IF(Sales[[#This Row],[Discount]]&lt;=20,"10-20%","20-30%"))</f>
        <v>0-10%</v>
      </c>
      <c r="J196">
        <v>261.27</v>
      </c>
      <c r="K196" t="s">
        <v>262</v>
      </c>
      <c r="L196" t="s">
        <v>267</v>
      </c>
      <c r="M196">
        <f t="shared" si="21"/>
        <v>261.27</v>
      </c>
      <c r="N196">
        <f t="shared" si="22"/>
        <v>457.6</v>
      </c>
      <c r="O196">
        <f t="shared" si="23"/>
        <v>196.33000000000004</v>
      </c>
      <c r="P196" s="2">
        <f t="shared" si="24"/>
        <v>0.42904283216783223</v>
      </c>
      <c r="Q196" t="str">
        <f t="shared" si="25"/>
        <v>Weekday</v>
      </c>
      <c r="R196" t="str">
        <f t="shared" si="26"/>
        <v>Jun</v>
      </c>
      <c r="S196">
        <f t="shared" si="27"/>
        <v>2024</v>
      </c>
    </row>
    <row r="197" spans="1:19" x14ac:dyDescent="0.25">
      <c r="A197">
        <v>100195</v>
      </c>
      <c r="B197" s="1">
        <v>45085</v>
      </c>
      <c r="C197" t="s">
        <v>20</v>
      </c>
      <c r="D197" t="s">
        <v>183</v>
      </c>
      <c r="E197" t="s">
        <v>258</v>
      </c>
      <c r="F197">
        <v>3</v>
      </c>
      <c r="G197">
        <v>3846.79</v>
      </c>
      <c r="H197">
        <v>25</v>
      </c>
      <c r="I197" t="str">
        <f>IF(Sales[[#This Row],[Discount]]&lt;=10,"0-10%",IF(Sales[[#This Row],[Discount]]&lt;=20,"10-20%","20-30%"))</f>
        <v>20-30%</v>
      </c>
      <c r="J197">
        <v>1657.48</v>
      </c>
      <c r="K197" t="s">
        <v>262</v>
      </c>
      <c r="L197" t="s">
        <v>265</v>
      </c>
      <c r="M197">
        <f t="shared" si="21"/>
        <v>4972.4400000000005</v>
      </c>
      <c r="N197">
        <f t="shared" si="22"/>
        <v>8655.2775000000001</v>
      </c>
      <c r="O197">
        <f t="shared" si="23"/>
        <v>3682.8374999999996</v>
      </c>
      <c r="P197" s="2">
        <f t="shared" si="24"/>
        <v>0.42550195530992502</v>
      </c>
      <c r="Q197" t="str">
        <f t="shared" si="25"/>
        <v>Weekday</v>
      </c>
      <c r="R197" t="str">
        <f t="shared" si="26"/>
        <v>Jun</v>
      </c>
      <c r="S197">
        <f t="shared" si="27"/>
        <v>2023</v>
      </c>
    </row>
    <row r="198" spans="1:19" x14ac:dyDescent="0.25">
      <c r="A198">
        <v>100196</v>
      </c>
      <c r="B198" s="1">
        <v>44941</v>
      </c>
      <c r="C198" t="s">
        <v>28</v>
      </c>
      <c r="D198" t="s">
        <v>148</v>
      </c>
      <c r="E198" t="s">
        <v>257</v>
      </c>
      <c r="F198">
        <v>4</v>
      </c>
      <c r="G198">
        <v>2447.9</v>
      </c>
      <c r="H198">
        <v>15</v>
      </c>
      <c r="I198" t="str">
        <f>IF(Sales[[#This Row],[Discount]]&lt;=10,"0-10%",IF(Sales[[#This Row],[Discount]]&lt;=20,"10-20%","20-30%"))</f>
        <v>10-20%</v>
      </c>
      <c r="J198">
        <v>1422.69</v>
      </c>
      <c r="K198" t="s">
        <v>268</v>
      </c>
      <c r="L198" t="s">
        <v>264</v>
      </c>
      <c r="M198">
        <f t="shared" si="21"/>
        <v>5690.76</v>
      </c>
      <c r="N198">
        <f t="shared" si="22"/>
        <v>8322.86</v>
      </c>
      <c r="O198">
        <f t="shared" si="23"/>
        <v>2632.1000000000004</v>
      </c>
      <c r="P198" s="2">
        <f t="shared" si="24"/>
        <v>0.31624946232424916</v>
      </c>
      <c r="Q198" t="str">
        <f t="shared" si="25"/>
        <v>Weekend</v>
      </c>
      <c r="R198" t="str">
        <f t="shared" si="26"/>
        <v>Jan</v>
      </c>
      <c r="S198">
        <f t="shared" si="27"/>
        <v>2023</v>
      </c>
    </row>
    <row r="199" spans="1:19" x14ac:dyDescent="0.25">
      <c r="A199">
        <v>100197</v>
      </c>
      <c r="B199" s="1">
        <v>45611</v>
      </c>
      <c r="C199" t="s">
        <v>17</v>
      </c>
      <c r="D199" t="s">
        <v>111</v>
      </c>
      <c r="E199" t="s">
        <v>254</v>
      </c>
      <c r="F199">
        <v>4</v>
      </c>
      <c r="G199">
        <v>1004.61</v>
      </c>
      <c r="H199">
        <v>0</v>
      </c>
      <c r="I199" t="str">
        <f>IF(Sales[[#This Row],[Discount]]&lt;=10,"0-10%",IF(Sales[[#This Row],[Discount]]&lt;=20,"10-20%","20-30%"))</f>
        <v>0-10%</v>
      </c>
      <c r="J199">
        <v>470.94</v>
      </c>
      <c r="K199" t="s">
        <v>261</v>
      </c>
      <c r="L199" t="s">
        <v>264</v>
      </c>
      <c r="M199">
        <f t="shared" si="21"/>
        <v>1883.76</v>
      </c>
      <c r="N199">
        <f t="shared" si="22"/>
        <v>4018.44</v>
      </c>
      <c r="O199">
        <f t="shared" si="23"/>
        <v>2134.6800000000003</v>
      </c>
      <c r="P199" s="2">
        <f t="shared" si="24"/>
        <v>0.53122107086332016</v>
      </c>
      <c r="Q199" t="str">
        <f t="shared" si="25"/>
        <v>Weekday</v>
      </c>
      <c r="R199" t="str">
        <f t="shared" si="26"/>
        <v>Nov</v>
      </c>
      <c r="S199">
        <f t="shared" si="27"/>
        <v>2024</v>
      </c>
    </row>
    <row r="200" spans="1:19" x14ac:dyDescent="0.25">
      <c r="A200">
        <v>100198</v>
      </c>
      <c r="B200" s="1">
        <v>45218</v>
      </c>
      <c r="C200" t="s">
        <v>17</v>
      </c>
      <c r="D200" t="s">
        <v>162</v>
      </c>
      <c r="E200" t="s">
        <v>257</v>
      </c>
      <c r="F200">
        <v>3</v>
      </c>
      <c r="G200">
        <v>3313.39</v>
      </c>
      <c r="H200">
        <v>0</v>
      </c>
      <c r="I200" t="str">
        <f>IF(Sales[[#This Row],[Discount]]&lt;=10,"0-10%",IF(Sales[[#This Row],[Discount]]&lt;=20,"10-20%","20-30%"))</f>
        <v>0-10%</v>
      </c>
      <c r="J200">
        <v>2015.15</v>
      </c>
      <c r="K200" t="s">
        <v>262</v>
      </c>
      <c r="L200" t="s">
        <v>267</v>
      </c>
      <c r="M200">
        <f t="shared" si="21"/>
        <v>6045.4500000000007</v>
      </c>
      <c r="N200">
        <f t="shared" si="22"/>
        <v>9940.17</v>
      </c>
      <c r="O200">
        <f t="shared" si="23"/>
        <v>3894.7199999999993</v>
      </c>
      <c r="P200" s="2">
        <f t="shared" si="24"/>
        <v>0.39181623654323811</v>
      </c>
      <c r="Q200" t="str">
        <f t="shared" si="25"/>
        <v>Weekday</v>
      </c>
      <c r="R200" t="str">
        <f t="shared" si="26"/>
        <v>Oct</v>
      </c>
      <c r="S200">
        <f t="shared" si="27"/>
        <v>2023</v>
      </c>
    </row>
    <row r="201" spans="1:19" x14ac:dyDescent="0.25">
      <c r="A201">
        <v>100199</v>
      </c>
      <c r="B201" s="1">
        <v>45180</v>
      </c>
      <c r="C201" t="s">
        <v>18</v>
      </c>
      <c r="D201" t="s">
        <v>184</v>
      </c>
      <c r="E201" t="s">
        <v>256</v>
      </c>
      <c r="F201">
        <v>3</v>
      </c>
      <c r="G201">
        <v>3115.44</v>
      </c>
      <c r="H201">
        <v>0</v>
      </c>
      <c r="I201" t="str">
        <f>IF(Sales[[#This Row],[Discount]]&lt;=10,"0-10%",IF(Sales[[#This Row],[Discount]]&lt;=20,"10-20%","20-30%"))</f>
        <v>0-10%</v>
      </c>
      <c r="J201">
        <v>2018.93</v>
      </c>
      <c r="K201" t="s">
        <v>268</v>
      </c>
      <c r="L201" t="s">
        <v>267</v>
      </c>
      <c r="M201">
        <f t="shared" si="21"/>
        <v>6056.79</v>
      </c>
      <c r="N201">
        <f t="shared" si="22"/>
        <v>9346.32</v>
      </c>
      <c r="O201">
        <f t="shared" si="23"/>
        <v>3289.5299999999997</v>
      </c>
      <c r="P201" s="2">
        <f t="shared" si="24"/>
        <v>0.35195991577433683</v>
      </c>
      <c r="Q201" t="str">
        <f t="shared" si="25"/>
        <v>Weekday</v>
      </c>
      <c r="R201" t="str">
        <f t="shared" si="26"/>
        <v>Sep</v>
      </c>
      <c r="S201">
        <f t="shared" si="27"/>
        <v>2023</v>
      </c>
    </row>
    <row r="202" spans="1:19" x14ac:dyDescent="0.25">
      <c r="A202">
        <v>100200</v>
      </c>
      <c r="B202" s="1">
        <v>45272</v>
      </c>
      <c r="C202" t="s">
        <v>19</v>
      </c>
      <c r="D202" t="s">
        <v>108</v>
      </c>
      <c r="E202" t="s">
        <v>255</v>
      </c>
      <c r="F202">
        <v>4</v>
      </c>
      <c r="G202">
        <v>3041.94</v>
      </c>
      <c r="H202">
        <v>0</v>
      </c>
      <c r="I202" t="str">
        <f>IF(Sales[[#This Row],[Discount]]&lt;=10,"0-10%",IF(Sales[[#This Row],[Discount]]&lt;=20,"10-20%","20-30%"))</f>
        <v>0-10%</v>
      </c>
      <c r="J202">
        <v>1582.59</v>
      </c>
      <c r="K202" t="s">
        <v>261</v>
      </c>
      <c r="L202" t="s">
        <v>267</v>
      </c>
      <c r="M202">
        <f t="shared" si="21"/>
        <v>6330.36</v>
      </c>
      <c r="N202">
        <f t="shared" si="22"/>
        <v>12167.76</v>
      </c>
      <c r="O202">
        <f t="shared" si="23"/>
        <v>5837.4000000000005</v>
      </c>
      <c r="P202" s="2">
        <f t="shared" si="24"/>
        <v>0.47974319020099021</v>
      </c>
      <c r="Q202" t="str">
        <f t="shared" si="25"/>
        <v>Weekday</v>
      </c>
      <c r="R202" t="str">
        <f t="shared" si="26"/>
        <v>Dec</v>
      </c>
      <c r="S202">
        <f t="shared" si="27"/>
        <v>2023</v>
      </c>
    </row>
    <row r="203" spans="1:19" x14ac:dyDescent="0.25">
      <c r="A203">
        <v>100201</v>
      </c>
      <c r="B203" s="1">
        <v>45136</v>
      </c>
      <c r="C203" t="s">
        <v>29</v>
      </c>
      <c r="D203" t="s">
        <v>166</v>
      </c>
      <c r="E203" t="s">
        <v>254</v>
      </c>
      <c r="F203">
        <v>3</v>
      </c>
      <c r="G203">
        <v>1020.75</v>
      </c>
      <c r="H203">
        <v>25</v>
      </c>
      <c r="I203" t="str">
        <f>IF(Sales[[#This Row],[Discount]]&lt;=10,"0-10%",IF(Sales[[#This Row],[Discount]]&lt;=20,"10-20%","20-30%"))</f>
        <v>20-30%</v>
      </c>
      <c r="J203">
        <v>587.82000000000005</v>
      </c>
      <c r="K203" t="s">
        <v>262</v>
      </c>
      <c r="L203" t="s">
        <v>263</v>
      </c>
      <c r="M203">
        <f t="shared" si="21"/>
        <v>1763.46</v>
      </c>
      <c r="N203">
        <f t="shared" si="22"/>
        <v>2296.6875</v>
      </c>
      <c r="O203">
        <f t="shared" si="23"/>
        <v>533.22749999999996</v>
      </c>
      <c r="P203" s="2">
        <f t="shared" si="24"/>
        <v>0.23217242223855006</v>
      </c>
      <c r="Q203" t="str">
        <f t="shared" si="25"/>
        <v>Weekend</v>
      </c>
      <c r="R203" t="str">
        <f t="shared" si="26"/>
        <v>Jul</v>
      </c>
      <c r="S203">
        <f t="shared" si="27"/>
        <v>2023</v>
      </c>
    </row>
    <row r="204" spans="1:19" x14ac:dyDescent="0.25">
      <c r="A204">
        <v>100202</v>
      </c>
      <c r="B204" s="1">
        <v>45282</v>
      </c>
      <c r="C204" t="s">
        <v>54</v>
      </c>
      <c r="D204" t="s">
        <v>103</v>
      </c>
      <c r="E204" t="s">
        <v>254</v>
      </c>
      <c r="F204">
        <v>4</v>
      </c>
      <c r="G204">
        <v>4398.9799999999996</v>
      </c>
      <c r="H204">
        <v>25</v>
      </c>
      <c r="I204" t="str">
        <f>IF(Sales[[#This Row],[Discount]]&lt;=10,"0-10%",IF(Sales[[#This Row],[Discount]]&lt;=20,"10-20%","20-30%"))</f>
        <v>20-30%</v>
      </c>
      <c r="J204">
        <v>2989.7</v>
      </c>
      <c r="K204" t="s">
        <v>261</v>
      </c>
      <c r="L204" t="s">
        <v>266</v>
      </c>
      <c r="M204">
        <f t="shared" si="21"/>
        <v>11958.8</v>
      </c>
      <c r="N204">
        <f t="shared" si="22"/>
        <v>13196.939999999999</v>
      </c>
      <c r="O204">
        <f t="shared" si="23"/>
        <v>1238.1399999999994</v>
      </c>
      <c r="P204" s="2">
        <f t="shared" si="24"/>
        <v>9.3820234084568049E-2</v>
      </c>
      <c r="Q204" t="str">
        <f t="shared" si="25"/>
        <v>Weekday</v>
      </c>
      <c r="R204" t="str">
        <f t="shared" si="26"/>
        <v>Dec</v>
      </c>
      <c r="S204">
        <f t="shared" si="27"/>
        <v>2023</v>
      </c>
    </row>
    <row r="205" spans="1:19" x14ac:dyDescent="0.25">
      <c r="A205">
        <v>100203</v>
      </c>
      <c r="B205" s="1">
        <v>45032</v>
      </c>
      <c r="C205" t="s">
        <v>17</v>
      </c>
      <c r="D205" t="s">
        <v>160</v>
      </c>
      <c r="E205" t="s">
        <v>260</v>
      </c>
      <c r="F205">
        <v>1</v>
      </c>
      <c r="G205">
        <v>4635.75</v>
      </c>
      <c r="H205">
        <v>30</v>
      </c>
      <c r="I205" t="str">
        <f>IF(Sales[[#This Row],[Discount]]&lt;=10,"0-10%",IF(Sales[[#This Row],[Discount]]&lt;=20,"10-20%","20-30%"))</f>
        <v>20-30%</v>
      </c>
      <c r="J205">
        <v>2837.87</v>
      </c>
      <c r="K205" t="s">
        <v>262</v>
      </c>
      <c r="L205" t="s">
        <v>267</v>
      </c>
      <c r="M205">
        <f t="shared" si="21"/>
        <v>2837.87</v>
      </c>
      <c r="N205">
        <f t="shared" si="22"/>
        <v>3245.0249999999996</v>
      </c>
      <c r="O205">
        <f t="shared" si="23"/>
        <v>407.15499999999975</v>
      </c>
      <c r="P205" s="2">
        <f t="shared" si="24"/>
        <v>0.12547052796203412</v>
      </c>
      <c r="Q205" t="str">
        <f t="shared" si="25"/>
        <v>Weekend</v>
      </c>
      <c r="R205" t="str">
        <f t="shared" si="26"/>
        <v>Apr</v>
      </c>
      <c r="S205">
        <f t="shared" si="27"/>
        <v>2023</v>
      </c>
    </row>
    <row r="206" spans="1:19" x14ac:dyDescent="0.25">
      <c r="A206">
        <v>100204</v>
      </c>
      <c r="B206" s="1">
        <v>44955</v>
      </c>
      <c r="C206" t="s">
        <v>29</v>
      </c>
      <c r="D206" t="s">
        <v>185</v>
      </c>
      <c r="E206" t="s">
        <v>258</v>
      </c>
      <c r="F206">
        <v>3</v>
      </c>
      <c r="G206">
        <v>3151.56</v>
      </c>
      <c r="H206">
        <v>5</v>
      </c>
      <c r="I206" t="str">
        <f>IF(Sales[[#This Row],[Discount]]&lt;=10,"0-10%",IF(Sales[[#This Row],[Discount]]&lt;=20,"10-20%","20-30%"))</f>
        <v>0-10%</v>
      </c>
      <c r="J206">
        <v>1661.63</v>
      </c>
      <c r="K206" t="s">
        <v>261</v>
      </c>
      <c r="L206" t="s">
        <v>265</v>
      </c>
      <c r="M206">
        <f t="shared" si="21"/>
        <v>4984.8900000000003</v>
      </c>
      <c r="N206">
        <f t="shared" si="22"/>
        <v>8981.9459999999999</v>
      </c>
      <c r="O206">
        <f t="shared" si="23"/>
        <v>3997.0559999999996</v>
      </c>
      <c r="P206" s="2">
        <f t="shared" si="24"/>
        <v>0.44501002344035462</v>
      </c>
      <c r="Q206" t="str">
        <f t="shared" si="25"/>
        <v>Weekend</v>
      </c>
      <c r="R206" t="str">
        <f t="shared" si="26"/>
        <v>Jan</v>
      </c>
      <c r="S206">
        <f t="shared" si="27"/>
        <v>2023</v>
      </c>
    </row>
    <row r="207" spans="1:19" x14ac:dyDescent="0.25">
      <c r="A207">
        <v>100205</v>
      </c>
      <c r="B207" s="1">
        <v>45539</v>
      </c>
      <c r="C207" t="s">
        <v>36</v>
      </c>
      <c r="D207" t="s">
        <v>186</v>
      </c>
      <c r="E207" t="s">
        <v>257</v>
      </c>
      <c r="F207">
        <v>1</v>
      </c>
      <c r="G207">
        <v>4650.17</v>
      </c>
      <c r="H207">
        <v>30</v>
      </c>
      <c r="I207" t="str">
        <f>IF(Sales[[#This Row],[Discount]]&lt;=10,"0-10%",IF(Sales[[#This Row],[Discount]]&lt;=20,"10-20%","20-30%"))</f>
        <v>20-30%</v>
      </c>
      <c r="J207">
        <v>2489.0100000000002</v>
      </c>
      <c r="K207" t="s">
        <v>262</v>
      </c>
      <c r="L207" t="s">
        <v>264</v>
      </c>
      <c r="M207">
        <f t="shared" si="21"/>
        <v>2489.0100000000002</v>
      </c>
      <c r="N207">
        <f t="shared" si="22"/>
        <v>3255.1189999999997</v>
      </c>
      <c r="O207">
        <f t="shared" si="23"/>
        <v>766.10899999999947</v>
      </c>
      <c r="P207" s="2">
        <f t="shared" si="24"/>
        <v>0.2353551436982794</v>
      </c>
      <c r="Q207" t="str">
        <f t="shared" si="25"/>
        <v>Weekday</v>
      </c>
      <c r="R207" t="str">
        <f t="shared" si="26"/>
        <v>Sep</v>
      </c>
      <c r="S207">
        <f t="shared" si="27"/>
        <v>2024</v>
      </c>
    </row>
    <row r="208" spans="1:19" x14ac:dyDescent="0.25">
      <c r="A208">
        <v>100206</v>
      </c>
      <c r="B208" s="1">
        <v>44927</v>
      </c>
      <c r="C208" t="s">
        <v>54</v>
      </c>
      <c r="D208" t="s">
        <v>173</v>
      </c>
      <c r="E208" t="s">
        <v>259</v>
      </c>
      <c r="F208">
        <v>2</v>
      </c>
      <c r="G208">
        <v>4242.82</v>
      </c>
      <c r="H208">
        <v>0</v>
      </c>
      <c r="I208" t="str">
        <f>IF(Sales[[#This Row],[Discount]]&lt;=10,"0-10%",IF(Sales[[#This Row],[Discount]]&lt;=20,"10-20%","20-30%"))</f>
        <v>0-10%</v>
      </c>
      <c r="J208">
        <v>1855.8</v>
      </c>
      <c r="K208" t="s">
        <v>262</v>
      </c>
      <c r="L208" t="s">
        <v>264</v>
      </c>
      <c r="M208">
        <f t="shared" si="21"/>
        <v>3711.6</v>
      </c>
      <c r="N208">
        <f t="shared" si="22"/>
        <v>8485.64</v>
      </c>
      <c r="O208">
        <f t="shared" si="23"/>
        <v>4774.0399999999991</v>
      </c>
      <c r="P208" s="2">
        <f t="shared" si="24"/>
        <v>0.5626022315346868</v>
      </c>
      <c r="Q208" t="str">
        <f t="shared" si="25"/>
        <v>Weekend</v>
      </c>
      <c r="R208" t="str">
        <f t="shared" si="26"/>
        <v>Jan</v>
      </c>
      <c r="S208">
        <f t="shared" si="27"/>
        <v>2023</v>
      </c>
    </row>
    <row r="209" spans="1:19" x14ac:dyDescent="0.25">
      <c r="A209">
        <v>100207</v>
      </c>
      <c r="B209" s="1">
        <v>45587</v>
      </c>
      <c r="C209" t="s">
        <v>45</v>
      </c>
      <c r="D209" t="s">
        <v>78</v>
      </c>
      <c r="E209" t="s">
        <v>257</v>
      </c>
      <c r="F209">
        <v>2</v>
      </c>
      <c r="G209">
        <v>2738.54</v>
      </c>
      <c r="H209">
        <v>25</v>
      </c>
      <c r="I209" t="str">
        <f>IF(Sales[[#This Row],[Discount]]&lt;=10,"0-10%",IF(Sales[[#This Row],[Discount]]&lt;=20,"10-20%","20-30%"))</f>
        <v>20-30%</v>
      </c>
      <c r="J209">
        <v>1581.19</v>
      </c>
      <c r="K209" t="s">
        <v>261</v>
      </c>
      <c r="L209" t="s">
        <v>267</v>
      </c>
      <c r="M209">
        <f t="shared" si="21"/>
        <v>3162.38</v>
      </c>
      <c r="N209">
        <f t="shared" si="22"/>
        <v>4107.8099999999995</v>
      </c>
      <c r="O209">
        <f t="shared" si="23"/>
        <v>945.42999999999938</v>
      </c>
      <c r="P209" s="2">
        <f t="shared" si="24"/>
        <v>0.23015426711556755</v>
      </c>
      <c r="Q209" t="str">
        <f t="shared" si="25"/>
        <v>Weekday</v>
      </c>
      <c r="R209" t="str">
        <f t="shared" si="26"/>
        <v>Oct</v>
      </c>
      <c r="S209">
        <f t="shared" si="27"/>
        <v>2024</v>
      </c>
    </row>
    <row r="210" spans="1:19" x14ac:dyDescent="0.25">
      <c r="A210">
        <v>100208</v>
      </c>
      <c r="B210" s="1">
        <v>45239</v>
      </c>
      <c r="C210" t="s">
        <v>14</v>
      </c>
      <c r="D210" t="s">
        <v>123</v>
      </c>
      <c r="E210" t="s">
        <v>258</v>
      </c>
      <c r="F210">
        <v>1</v>
      </c>
      <c r="G210">
        <v>3797.97</v>
      </c>
      <c r="H210">
        <v>0</v>
      </c>
      <c r="I210" t="str">
        <f>IF(Sales[[#This Row],[Discount]]&lt;=10,"0-10%",IF(Sales[[#This Row],[Discount]]&lt;=20,"10-20%","20-30%"))</f>
        <v>0-10%</v>
      </c>
      <c r="J210">
        <v>1753.42</v>
      </c>
      <c r="K210" t="s">
        <v>268</v>
      </c>
      <c r="L210" t="s">
        <v>263</v>
      </c>
      <c r="M210">
        <f t="shared" si="21"/>
        <v>1753.42</v>
      </c>
      <c r="N210">
        <f t="shared" si="22"/>
        <v>3797.97</v>
      </c>
      <c r="O210">
        <f t="shared" si="23"/>
        <v>2044.5499999999997</v>
      </c>
      <c r="P210" s="2">
        <f t="shared" si="24"/>
        <v>0.53832705366287781</v>
      </c>
      <c r="Q210" t="str">
        <f t="shared" si="25"/>
        <v>Weekday</v>
      </c>
      <c r="R210" t="str">
        <f t="shared" si="26"/>
        <v>Nov</v>
      </c>
      <c r="S210">
        <f t="shared" si="27"/>
        <v>2023</v>
      </c>
    </row>
    <row r="211" spans="1:19" x14ac:dyDescent="0.25">
      <c r="A211">
        <v>100209</v>
      </c>
      <c r="B211" s="1">
        <v>45463</v>
      </c>
      <c r="C211" t="s">
        <v>56</v>
      </c>
      <c r="D211" t="s">
        <v>147</v>
      </c>
      <c r="E211" t="s">
        <v>254</v>
      </c>
      <c r="F211">
        <v>2</v>
      </c>
      <c r="G211">
        <v>1867.45</v>
      </c>
      <c r="H211">
        <v>20</v>
      </c>
      <c r="I211" t="str">
        <f>IF(Sales[[#This Row],[Discount]]&lt;=10,"0-10%",IF(Sales[[#This Row],[Discount]]&lt;=20,"10-20%","20-30%"))</f>
        <v>10-20%</v>
      </c>
      <c r="J211">
        <v>970.05</v>
      </c>
      <c r="K211" t="s">
        <v>261</v>
      </c>
      <c r="L211" t="s">
        <v>265</v>
      </c>
      <c r="M211">
        <f t="shared" si="21"/>
        <v>1940.1</v>
      </c>
      <c r="N211">
        <f t="shared" si="22"/>
        <v>2987.92</v>
      </c>
      <c r="O211">
        <f t="shared" si="23"/>
        <v>1047.8200000000002</v>
      </c>
      <c r="P211" s="2">
        <f t="shared" si="24"/>
        <v>0.35068542665131602</v>
      </c>
      <c r="Q211" t="str">
        <f t="shared" si="25"/>
        <v>Weekday</v>
      </c>
      <c r="R211" t="str">
        <f t="shared" si="26"/>
        <v>Jun</v>
      </c>
      <c r="S211">
        <f t="shared" si="27"/>
        <v>2024</v>
      </c>
    </row>
    <row r="212" spans="1:19" x14ac:dyDescent="0.25">
      <c r="A212">
        <v>100210</v>
      </c>
      <c r="B212" s="1">
        <v>45401</v>
      </c>
      <c r="C212" t="s">
        <v>33</v>
      </c>
      <c r="D212" t="s">
        <v>130</v>
      </c>
      <c r="E212" t="s">
        <v>260</v>
      </c>
      <c r="F212">
        <v>3</v>
      </c>
      <c r="G212">
        <v>4637.91</v>
      </c>
      <c r="H212">
        <v>0</v>
      </c>
      <c r="I212" t="str">
        <f>IF(Sales[[#This Row],[Discount]]&lt;=10,"0-10%",IF(Sales[[#This Row],[Discount]]&lt;=20,"10-20%","20-30%"))</f>
        <v>0-10%</v>
      </c>
      <c r="J212">
        <v>2503.13</v>
      </c>
      <c r="K212" t="s">
        <v>262</v>
      </c>
      <c r="L212" t="s">
        <v>263</v>
      </c>
      <c r="M212">
        <f t="shared" si="21"/>
        <v>7509.39</v>
      </c>
      <c r="N212">
        <f t="shared" si="22"/>
        <v>13913.73</v>
      </c>
      <c r="O212">
        <f t="shared" si="23"/>
        <v>6404.3399999999992</v>
      </c>
      <c r="P212" s="2">
        <f t="shared" si="24"/>
        <v>0.46028922510354875</v>
      </c>
      <c r="Q212" t="str">
        <f t="shared" si="25"/>
        <v>Weekday</v>
      </c>
      <c r="R212" t="str">
        <f t="shared" si="26"/>
        <v>Apr</v>
      </c>
      <c r="S212">
        <f t="shared" si="27"/>
        <v>2024</v>
      </c>
    </row>
    <row r="213" spans="1:19" x14ac:dyDescent="0.25">
      <c r="A213">
        <v>100211</v>
      </c>
      <c r="B213" s="1">
        <v>45105</v>
      </c>
      <c r="C213" t="s">
        <v>15</v>
      </c>
      <c r="D213" t="s">
        <v>187</v>
      </c>
      <c r="E213" t="s">
        <v>259</v>
      </c>
      <c r="F213">
        <v>3</v>
      </c>
      <c r="G213">
        <v>2425.42</v>
      </c>
      <c r="H213">
        <v>20</v>
      </c>
      <c r="I213" t="str">
        <f>IF(Sales[[#This Row],[Discount]]&lt;=10,"0-10%",IF(Sales[[#This Row],[Discount]]&lt;=20,"10-20%","20-30%"))</f>
        <v>10-20%</v>
      </c>
      <c r="J213">
        <v>1133.5999999999999</v>
      </c>
      <c r="K213" t="s">
        <v>268</v>
      </c>
      <c r="L213" t="s">
        <v>267</v>
      </c>
      <c r="M213">
        <f t="shared" si="21"/>
        <v>3400.7999999999997</v>
      </c>
      <c r="N213">
        <f t="shared" si="22"/>
        <v>5821.0080000000007</v>
      </c>
      <c r="O213">
        <f t="shared" si="23"/>
        <v>2420.208000000001</v>
      </c>
      <c r="P213" s="2">
        <f t="shared" si="24"/>
        <v>0.41577128909632161</v>
      </c>
      <c r="Q213" t="str">
        <f t="shared" si="25"/>
        <v>Weekday</v>
      </c>
      <c r="R213" t="str">
        <f t="shared" si="26"/>
        <v>Jun</v>
      </c>
      <c r="S213">
        <f t="shared" si="27"/>
        <v>2023</v>
      </c>
    </row>
    <row r="214" spans="1:19" x14ac:dyDescent="0.25">
      <c r="A214">
        <v>100212</v>
      </c>
      <c r="B214" s="1">
        <v>45427</v>
      </c>
      <c r="C214" t="s">
        <v>16</v>
      </c>
      <c r="D214" t="s">
        <v>62</v>
      </c>
      <c r="E214" t="s">
        <v>257</v>
      </c>
      <c r="F214">
        <v>4</v>
      </c>
      <c r="G214">
        <v>3014.87</v>
      </c>
      <c r="H214">
        <v>5</v>
      </c>
      <c r="I214" t="str">
        <f>IF(Sales[[#This Row],[Discount]]&lt;=10,"0-10%",IF(Sales[[#This Row],[Discount]]&lt;=20,"10-20%","20-30%"))</f>
        <v>0-10%</v>
      </c>
      <c r="J214">
        <v>1355.65</v>
      </c>
      <c r="K214" t="s">
        <v>262</v>
      </c>
      <c r="L214" t="s">
        <v>267</v>
      </c>
      <c r="M214">
        <f t="shared" si="21"/>
        <v>5422.6</v>
      </c>
      <c r="N214">
        <f t="shared" si="22"/>
        <v>11456.505999999999</v>
      </c>
      <c r="O214">
        <f t="shared" si="23"/>
        <v>6033.905999999999</v>
      </c>
      <c r="P214" s="2">
        <f t="shared" si="24"/>
        <v>0.52667942564687698</v>
      </c>
      <c r="Q214" t="str">
        <f t="shared" si="25"/>
        <v>Weekday</v>
      </c>
      <c r="R214" t="str">
        <f t="shared" si="26"/>
        <v>May</v>
      </c>
      <c r="S214">
        <f t="shared" si="27"/>
        <v>2024</v>
      </c>
    </row>
    <row r="215" spans="1:19" x14ac:dyDescent="0.25">
      <c r="A215">
        <v>100213</v>
      </c>
      <c r="B215" s="1">
        <v>45588</v>
      </c>
      <c r="C215" t="s">
        <v>49</v>
      </c>
      <c r="D215" t="s">
        <v>188</v>
      </c>
      <c r="E215" t="s">
        <v>257</v>
      </c>
      <c r="F215">
        <v>1</v>
      </c>
      <c r="G215">
        <v>2003.25</v>
      </c>
      <c r="H215">
        <v>5</v>
      </c>
      <c r="I215" t="str">
        <f>IF(Sales[[#This Row],[Discount]]&lt;=10,"0-10%",IF(Sales[[#This Row],[Discount]]&lt;=20,"10-20%","20-30%"))</f>
        <v>0-10%</v>
      </c>
      <c r="J215">
        <v>1150.22</v>
      </c>
      <c r="K215" t="s">
        <v>262</v>
      </c>
      <c r="L215" t="s">
        <v>267</v>
      </c>
      <c r="M215">
        <f t="shared" si="21"/>
        <v>1150.22</v>
      </c>
      <c r="N215">
        <f t="shared" si="22"/>
        <v>1903.0874999999999</v>
      </c>
      <c r="O215">
        <f t="shared" si="23"/>
        <v>752.86749999999984</v>
      </c>
      <c r="P215" s="2">
        <f t="shared" si="24"/>
        <v>0.39560319743574579</v>
      </c>
      <c r="Q215" t="str">
        <f t="shared" si="25"/>
        <v>Weekday</v>
      </c>
      <c r="R215" t="str">
        <f t="shared" si="26"/>
        <v>Oct</v>
      </c>
      <c r="S215">
        <f t="shared" si="27"/>
        <v>2024</v>
      </c>
    </row>
    <row r="216" spans="1:19" x14ac:dyDescent="0.25">
      <c r="A216">
        <v>100214</v>
      </c>
      <c r="B216" s="1">
        <v>45010</v>
      </c>
      <c r="C216" t="s">
        <v>36</v>
      </c>
      <c r="D216" t="s">
        <v>189</v>
      </c>
      <c r="E216" t="s">
        <v>254</v>
      </c>
      <c r="F216">
        <v>4</v>
      </c>
      <c r="G216">
        <v>1299.5999999999999</v>
      </c>
      <c r="H216">
        <v>20</v>
      </c>
      <c r="I216" t="str">
        <f>IF(Sales[[#This Row],[Discount]]&lt;=10,"0-10%",IF(Sales[[#This Row],[Discount]]&lt;=20,"10-20%","20-30%"))</f>
        <v>10-20%</v>
      </c>
      <c r="J216">
        <v>720.7</v>
      </c>
      <c r="K216" t="s">
        <v>261</v>
      </c>
      <c r="L216" t="s">
        <v>267</v>
      </c>
      <c r="M216">
        <f t="shared" si="21"/>
        <v>2882.8</v>
      </c>
      <c r="N216">
        <f t="shared" si="22"/>
        <v>4158.72</v>
      </c>
      <c r="O216">
        <f t="shared" si="23"/>
        <v>1275.92</v>
      </c>
      <c r="P216" s="2">
        <f t="shared" si="24"/>
        <v>0.30680594028931979</v>
      </c>
      <c r="Q216" t="str">
        <f t="shared" si="25"/>
        <v>Weekend</v>
      </c>
      <c r="R216" t="str">
        <f t="shared" si="26"/>
        <v>Mar</v>
      </c>
      <c r="S216">
        <f t="shared" si="27"/>
        <v>2023</v>
      </c>
    </row>
    <row r="217" spans="1:19" x14ac:dyDescent="0.25">
      <c r="A217">
        <v>100215</v>
      </c>
      <c r="B217" s="1">
        <v>44989</v>
      </c>
      <c r="C217" t="s">
        <v>53</v>
      </c>
      <c r="D217" t="s">
        <v>61</v>
      </c>
      <c r="E217" t="s">
        <v>256</v>
      </c>
      <c r="F217">
        <v>1</v>
      </c>
      <c r="G217">
        <v>2919.34</v>
      </c>
      <c r="H217">
        <v>0</v>
      </c>
      <c r="I217" t="str">
        <f>IF(Sales[[#This Row],[Discount]]&lt;=10,"0-10%",IF(Sales[[#This Row],[Discount]]&lt;=20,"10-20%","20-30%"))</f>
        <v>0-10%</v>
      </c>
      <c r="J217">
        <v>1921.48</v>
      </c>
      <c r="K217" t="s">
        <v>261</v>
      </c>
      <c r="L217" t="s">
        <v>264</v>
      </c>
      <c r="M217">
        <f t="shared" si="21"/>
        <v>1921.48</v>
      </c>
      <c r="N217">
        <f t="shared" si="22"/>
        <v>2919.34</v>
      </c>
      <c r="O217">
        <f t="shared" si="23"/>
        <v>997.86000000000013</v>
      </c>
      <c r="P217" s="2">
        <f t="shared" si="24"/>
        <v>0.34181013516753789</v>
      </c>
      <c r="Q217" t="str">
        <f t="shared" si="25"/>
        <v>Weekend</v>
      </c>
      <c r="R217" t="str">
        <f t="shared" si="26"/>
        <v>Mar</v>
      </c>
      <c r="S217">
        <f t="shared" si="27"/>
        <v>2023</v>
      </c>
    </row>
    <row r="218" spans="1:19" x14ac:dyDescent="0.25">
      <c r="A218">
        <v>100216</v>
      </c>
      <c r="B218" s="1">
        <v>45067</v>
      </c>
      <c r="C218" t="s">
        <v>21</v>
      </c>
      <c r="D218" t="s">
        <v>190</v>
      </c>
      <c r="E218" t="s">
        <v>256</v>
      </c>
      <c r="F218">
        <v>4</v>
      </c>
      <c r="G218">
        <v>2660.32</v>
      </c>
      <c r="H218">
        <v>10</v>
      </c>
      <c r="I218" t="str">
        <f>IF(Sales[[#This Row],[Discount]]&lt;=10,"0-10%",IF(Sales[[#This Row],[Discount]]&lt;=20,"10-20%","20-30%"))</f>
        <v>0-10%</v>
      </c>
      <c r="J218">
        <v>1539.3</v>
      </c>
      <c r="K218" t="s">
        <v>268</v>
      </c>
      <c r="L218" t="s">
        <v>264</v>
      </c>
      <c r="M218">
        <f t="shared" si="21"/>
        <v>6157.2</v>
      </c>
      <c r="N218">
        <f t="shared" si="22"/>
        <v>9577.152</v>
      </c>
      <c r="O218">
        <f t="shared" si="23"/>
        <v>3419.9520000000002</v>
      </c>
      <c r="P218" s="2">
        <f t="shared" si="24"/>
        <v>0.35709488582827131</v>
      </c>
      <c r="Q218" t="str">
        <f t="shared" si="25"/>
        <v>Weekend</v>
      </c>
      <c r="R218" t="str">
        <f t="shared" si="26"/>
        <v>May</v>
      </c>
      <c r="S218">
        <f t="shared" si="27"/>
        <v>2023</v>
      </c>
    </row>
    <row r="219" spans="1:19" x14ac:dyDescent="0.25">
      <c r="A219">
        <v>100217</v>
      </c>
      <c r="B219" s="1">
        <v>45596</v>
      </c>
      <c r="C219" t="s">
        <v>39</v>
      </c>
      <c r="D219" t="s">
        <v>191</v>
      </c>
      <c r="E219" t="s">
        <v>258</v>
      </c>
      <c r="F219">
        <v>3</v>
      </c>
      <c r="G219">
        <v>4058.98</v>
      </c>
      <c r="H219">
        <v>10</v>
      </c>
      <c r="I219" t="str">
        <f>IF(Sales[[#This Row],[Discount]]&lt;=10,"0-10%",IF(Sales[[#This Row],[Discount]]&lt;=20,"10-20%","20-30%"))</f>
        <v>0-10%</v>
      </c>
      <c r="J219">
        <v>2049.04</v>
      </c>
      <c r="K219" t="s">
        <v>261</v>
      </c>
      <c r="L219" t="s">
        <v>266</v>
      </c>
      <c r="M219">
        <f t="shared" si="21"/>
        <v>6147.12</v>
      </c>
      <c r="N219">
        <f t="shared" si="22"/>
        <v>10959.246000000001</v>
      </c>
      <c r="O219">
        <f t="shared" si="23"/>
        <v>4812.1260000000011</v>
      </c>
      <c r="P219" s="2">
        <f t="shared" si="24"/>
        <v>0.43909279890240632</v>
      </c>
      <c r="Q219" t="str">
        <f t="shared" si="25"/>
        <v>Weekday</v>
      </c>
      <c r="R219" t="str">
        <f t="shared" si="26"/>
        <v>Oct</v>
      </c>
      <c r="S219">
        <f t="shared" si="27"/>
        <v>2024</v>
      </c>
    </row>
    <row r="220" spans="1:19" x14ac:dyDescent="0.25">
      <c r="A220">
        <v>100218</v>
      </c>
      <c r="B220" s="1">
        <v>45350</v>
      </c>
      <c r="C220" t="s">
        <v>55</v>
      </c>
      <c r="D220" t="s">
        <v>192</v>
      </c>
      <c r="E220" t="s">
        <v>258</v>
      </c>
      <c r="F220">
        <v>1</v>
      </c>
      <c r="G220">
        <v>471.78</v>
      </c>
      <c r="H220">
        <v>20</v>
      </c>
      <c r="I220" t="str">
        <f>IF(Sales[[#This Row],[Discount]]&lt;=10,"0-10%",IF(Sales[[#This Row],[Discount]]&lt;=20,"10-20%","20-30%"))</f>
        <v>10-20%</v>
      </c>
      <c r="J220">
        <v>255.53</v>
      </c>
      <c r="K220" t="s">
        <v>268</v>
      </c>
      <c r="L220" t="s">
        <v>266</v>
      </c>
      <c r="M220">
        <f t="shared" si="21"/>
        <v>255.53</v>
      </c>
      <c r="N220">
        <f t="shared" si="22"/>
        <v>377.42399999999998</v>
      </c>
      <c r="O220">
        <f t="shared" si="23"/>
        <v>121.89399999999998</v>
      </c>
      <c r="P220" s="2">
        <f t="shared" si="24"/>
        <v>0.322963033617364</v>
      </c>
      <c r="Q220" t="str">
        <f t="shared" si="25"/>
        <v>Weekday</v>
      </c>
      <c r="R220" t="str">
        <f t="shared" si="26"/>
        <v>Feb</v>
      </c>
      <c r="S220">
        <f t="shared" si="27"/>
        <v>2024</v>
      </c>
    </row>
    <row r="221" spans="1:19" x14ac:dyDescent="0.25">
      <c r="A221">
        <v>100219</v>
      </c>
      <c r="B221" s="1">
        <v>45120</v>
      </c>
      <c r="C221" t="s">
        <v>37</v>
      </c>
      <c r="D221" t="s">
        <v>90</v>
      </c>
      <c r="E221" t="s">
        <v>255</v>
      </c>
      <c r="F221">
        <v>2</v>
      </c>
      <c r="G221">
        <v>1682.01</v>
      </c>
      <c r="H221">
        <v>0</v>
      </c>
      <c r="I221" t="str">
        <f>IF(Sales[[#This Row],[Discount]]&lt;=10,"0-10%",IF(Sales[[#This Row],[Discount]]&lt;=20,"10-20%","20-30%"))</f>
        <v>0-10%</v>
      </c>
      <c r="J221">
        <v>1033.1199999999999</v>
      </c>
      <c r="K221" t="s">
        <v>268</v>
      </c>
      <c r="L221" t="s">
        <v>267</v>
      </c>
      <c r="M221">
        <f t="shared" si="21"/>
        <v>2066.2399999999998</v>
      </c>
      <c r="N221">
        <f t="shared" si="22"/>
        <v>3364.02</v>
      </c>
      <c r="O221">
        <f t="shared" si="23"/>
        <v>1297.7800000000002</v>
      </c>
      <c r="P221" s="2">
        <f t="shared" si="24"/>
        <v>0.38578248642992619</v>
      </c>
      <c r="Q221" t="str">
        <f t="shared" si="25"/>
        <v>Weekday</v>
      </c>
      <c r="R221" t="str">
        <f t="shared" si="26"/>
        <v>Jul</v>
      </c>
      <c r="S221">
        <f t="shared" si="27"/>
        <v>2023</v>
      </c>
    </row>
    <row r="222" spans="1:19" x14ac:dyDescent="0.25">
      <c r="A222">
        <v>100220</v>
      </c>
      <c r="B222" s="1">
        <v>45570</v>
      </c>
      <c r="C222" t="s">
        <v>57</v>
      </c>
      <c r="D222" t="s">
        <v>86</v>
      </c>
      <c r="E222" t="s">
        <v>260</v>
      </c>
      <c r="F222">
        <v>2</v>
      </c>
      <c r="G222">
        <v>2635.96</v>
      </c>
      <c r="H222">
        <v>25</v>
      </c>
      <c r="I222" t="str">
        <f>IF(Sales[[#This Row],[Discount]]&lt;=10,"0-10%",IF(Sales[[#This Row],[Discount]]&lt;=20,"10-20%","20-30%"))</f>
        <v>20-30%</v>
      </c>
      <c r="J222">
        <v>1659.62</v>
      </c>
      <c r="K222" t="s">
        <v>268</v>
      </c>
      <c r="L222" t="s">
        <v>267</v>
      </c>
      <c r="M222">
        <f t="shared" si="21"/>
        <v>3319.24</v>
      </c>
      <c r="N222">
        <f t="shared" si="22"/>
        <v>3953.94</v>
      </c>
      <c r="O222">
        <f t="shared" si="23"/>
        <v>634.70000000000027</v>
      </c>
      <c r="P222" s="2">
        <f t="shared" si="24"/>
        <v>0.16052342726495603</v>
      </c>
      <c r="Q222" t="str">
        <f t="shared" si="25"/>
        <v>Weekend</v>
      </c>
      <c r="R222" t="str">
        <f t="shared" si="26"/>
        <v>Oct</v>
      </c>
      <c r="S222">
        <f t="shared" si="27"/>
        <v>2024</v>
      </c>
    </row>
    <row r="223" spans="1:19" x14ac:dyDescent="0.25">
      <c r="A223">
        <v>100221</v>
      </c>
      <c r="B223" s="1">
        <v>45384</v>
      </c>
      <c r="C223" t="s">
        <v>29</v>
      </c>
      <c r="D223" t="s">
        <v>193</v>
      </c>
      <c r="E223" t="s">
        <v>257</v>
      </c>
      <c r="F223">
        <v>4</v>
      </c>
      <c r="G223">
        <v>4350.3900000000003</v>
      </c>
      <c r="H223">
        <v>0</v>
      </c>
      <c r="I223" t="str">
        <f>IF(Sales[[#This Row],[Discount]]&lt;=10,"0-10%",IF(Sales[[#This Row],[Discount]]&lt;=20,"10-20%","20-30%"))</f>
        <v>0-10%</v>
      </c>
      <c r="J223">
        <v>2974.95</v>
      </c>
      <c r="K223" t="s">
        <v>262</v>
      </c>
      <c r="L223" t="s">
        <v>263</v>
      </c>
      <c r="M223">
        <f t="shared" si="21"/>
        <v>11899.8</v>
      </c>
      <c r="N223">
        <f t="shared" si="22"/>
        <v>17401.560000000001</v>
      </c>
      <c r="O223">
        <f t="shared" si="23"/>
        <v>5501.760000000002</v>
      </c>
      <c r="P223" s="2">
        <f t="shared" si="24"/>
        <v>0.31616475764241836</v>
      </c>
      <c r="Q223" t="str">
        <f t="shared" si="25"/>
        <v>Weekday</v>
      </c>
      <c r="R223" t="str">
        <f t="shared" si="26"/>
        <v>Apr</v>
      </c>
      <c r="S223">
        <f t="shared" si="27"/>
        <v>2024</v>
      </c>
    </row>
    <row r="224" spans="1:19" x14ac:dyDescent="0.25">
      <c r="A224">
        <v>100222</v>
      </c>
      <c r="B224" s="1">
        <v>45402</v>
      </c>
      <c r="C224" t="s">
        <v>16</v>
      </c>
      <c r="D224" t="s">
        <v>154</v>
      </c>
      <c r="E224" t="s">
        <v>257</v>
      </c>
      <c r="F224">
        <v>2</v>
      </c>
      <c r="G224">
        <v>2221.0500000000002</v>
      </c>
      <c r="H224">
        <v>30</v>
      </c>
      <c r="I224" t="str">
        <f>IF(Sales[[#This Row],[Discount]]&lt;=10,"0-10%",IF(Sales[[#This Row],[Discount]]&lt;=20,"10-20%","20-30%"))</f>
        <v>20-30%</v>
      </c>
      <c r="J224">
        <v>905.34</v>
      </c>
      <c r="K224" t="s">
        <v>261</v>
      </c>
      <c r="L224" t="s">
        <v>265</v>
      </c>
      <c r="M224">
        <f t="shared" si="21"/>
        <v>1810.68</v>
      </c>
      <c r="N224">
        <f t="shared" si="22"/>
        <v>3109.4700000000003</v>
      </c>
      <c r="O224">
        <f t="shared" si="23"/>
        <v>1298.7900000000002</v>
      </c>
      <c r="P224" s="2">
        <f t="shared" si="24"/>
        <v>0.41768854499319824</v>
      </c>
      <c r="Q224" t="str">
        <f t="shared" si="25"/>
        <v>Weekend</v>
      </c>
      <c r="R224" t="str">
        <f t="shared" si="26"/>
        <v>Apr</v>
      </c>
      <c r="S224">
        <f t="shared" si="27"/>
        <v>2024</v>
      </c>
    </row>
    <row r="225" spans="1:19" x14ac:dyDescent="0.25">
      <c r="A225">
        <v>100223</v>
      </c>
      <c r="B225" s="1">
        <v>45239</v>
      </c>
      <c r="C225" t="s">
        <v>31</v>
      </c>
      <c r="D225" t="s">
        <v>109</v>
      </c>
      <c r="E225" t="s">
        <v>255</v>
      </c>
      <c r="F225">
        <v>2</v>
      </c>
      <c r="G225">
        <v>4374.87</v>
      </c>
      <c r="H225">
        <v>25</v>
      </c>
      <c r="I225" t="str">
        <f>IF(Sales[[#This Row],[Discount]]&lt;=10,"0-10%",IF(Sales[[#This Row],[Discount]]&lt;=20,"10-20%","20-30%"))</f>
        <v>20-30%</v>
      </c>
      <c r="J225">
        <v>2285.41</v>
      </c>
      <c r="K225" t="s">
        <v>268</v>
      </c>
      <c r="L225" t="s">
        <v>267</v>
      </c>
      <c r="M225">
        <f t="shared" si="21"/>
        <v>4570.82</v>
      </c>
      <c r="N225">
        <f t="shared" si="22"/>
        <v>6562.3050000000003</v>
      </c>
      <c r="O225">
        <f t="shared" si="23"/>
        <v>1991.4850000000006</v>
      </c>
      <c r="P225" s="2">
        <f t="shared" si="24"/>
        <v>0.3034733984476492</v>
      </c>
      <c r="Q225" t="str">
        <f t="shared" si="25"/>
        <v>Weekday</v>
      </c>
      <c r="R225" t="str">
        <f t="shared" si="26"/>
        <v>Nov</v>
      </c>
      <c r="S225">
        <f t="shared" si="27"/>
        <v>2023</v>
      </c>
    </row>
    <row r="226" spans="1:19" x14ac:dyDescent="0.25">
      <c r="A226">
        <v>100224</v>
      </c>
      <c r="B226" s="1">
        <v>45254</v>
      </c>
      <c r="C226" t="s">
        <v>23</v>
      </c>
      <c r="D226" t="s">
        <v>71</v>
      </c>
      <c r="E226" t="s">
        <v>257</v>
      </c>
      <c r="F226">
        <v>4</v>
      </c>
      <c r="G226">
        <v>1221.73</v>
      </c>
      <c r="H226">
        <v>30</v>
      </c>
      <c r="I226" t="str">
        <f>IF(Sales[[#This Row],[Discount]]&lt;=10,"0-10%",IF(Sales[[#This Row],[Discount]]&lt;=20,"10-20%","20-30%"))</f>
        <v>20-30%</v>
      </c>
      <c r="J226">
        <v>673.97</v>
      </c>
      <c r="K226" t="s">
        <v>268</v>
      </c>
      <c r="L226" t="s">
        <v>263</v>
      </c>
      <c r="M226">
        <f t="shared" si="21"/>
        <v>2695.88</v>
      </c>
      <c r="N226">
        <f t="shared" si="22"/>
        <v>3420.8440000000001</v>
      </c>
      <c r="O226">
        <f t="shared" si="23"/>
        <v>724.96399999999994</v>
      </c>
      <c r="P226" s="2">
        <f t="shared" si="24"/>
        <v>0.21192547803992229</v>
      </c>
      <c r="Q226" t="str">
        <f t="shared" si="25"/>
        <v>Weekday</v>
      </c>
      <c r="R226" t="str">
        <f t="shared" si="26"/>
        <v>Nov</v>
      </c>
      <c r="S226">
        <f t="shared" si="27"/>
        <v>2023</v>
      </c>
    </row>
    <row r="227" spans="1:19" x14ac:dyDescent="0.25">
      <c r="A227">
        <v>100225</v>
      </c>
      <c r="B227" s="1">
        <v>45535</v>
      </c>
      <c r="C227" t="s">
        <v>47</v>
      </c>
      <c r="D227" t="s">
        <v>160</v>
      </c>
      <c r="E227" t="s">
        <v>256</v>
      </c>
      <c r="F227">
        <v>1</v>
      </c>
      <c r="G227">
        <v>4059.61</v>
      </c>
      <c r="H227">
        <v>0</v>
      </c>
      <c r="I227" t="str">
        <f>IF(Sales[[#This Row],[Discount]]&lt;=10,"0-10%",IF(Sales[[#This Row],[Discount]]&lt;=20,"10-20%","20-30%"))</f>
        <v>0-10%</v>
      </c>
      <c r="J227">
        <v>1841.29</v>
      </c>
      <c r="K227" t="s">
        <v>268</v>
      </c>
      <c r="L227" t="s">
        <v>264</v>
      </c>
      <c r="M227">
        <f t="shared" si="21"/>
        <v>1841.29</v>
      </c>
      <c r="N227">
        <f t="shared" si="22"/>
        <v>4059.61</v>
      </c>
      <c r="O227">
        <f t="shared" si="23"/>
        <v>2218.3200000000002</v>
      </c>
      <c r="P227" s="2">
        <f t="shared" si="24"/>
        <v>0.5464367266806418</v>
      </c>
      <c r="Q227" t="str">
        <f t="shared" si="25"/>
        <v>Weekend</v>
      </c>
      <c r="R227" t="str">
        <f t="shared" si="26"/>
        <v>Aug</v>
      </c>
      <c r="S227">
        <f t="shared" si="27"/>
        <v>2024</v>
      </c>
    </row>
    <row r="228" spans="1:19" x14ac:dyDescent="0.25">
      <c r="A228">
        <v>100226</v>
      </c>
      <c r="B228" s="1">
        <v>45014</v>
      </c>
      <c r="C228" t="s">
        <v>24</v>
      </c>
      <c r="D228" t="s">
        <v>194</v>
      </c>
      <c r="E228" t="s">
        <v>257</v>
      </c>
      <c r="F228">
        <v>3</v>
      </c>
      <c r="G228">
        <v>3687.82</v>
      </c>
      <c r="H228">
        <v>25</v>
      </c>
      <c r="I228" t="str">
        <f>IF(Sales[[#This Row],[Discount]]&lt;=10,"0-10%",IF(Sales[[#This Row],[Discount]]&lt;=20,"10-20%","20-30%"))</f>
        <v>20-30%</v>
      </c>
      <c r="J228">
        <v>2366.08</v>
      </c>
      <c r="K228" t="s">
        <v>261</v>
      </c>
      <c r="L228" t="s">
        <v>265</v>
      </c>
      <c r="M228">
        <f t="shared" si="21"/>
        <v>7098.24</v>
      </c>
      <c r="N228">
        <f t="shared" si="22"/>
        <v>8297.5950000000012</v>
      </c>
      <c r="O228">
        <f t="shared" si="23"/>
        <v>1199.3550000000014</v>
      </c>
      <c r="P228" s="2">
        <f t="shared" si="24"/>
        <v>0.14454248490074548</v>
      </c>
      <c r="Q228" t="str">
        <f t="shared" si="25"/>
        <v>Weekday</v>
      </c>
      <c r="R228" t="str">
        <f t="shared" si="26"/>
        <v>Mar</v>
      </c>
      <c r="S228">
        <f t="shared" si="27"/>
        <v>2023</v>
      </c>
    </row>
    <row r="229" spans="1:19" x14ac:dyDescent="0.25">
      <c r="A229">
        <v>100227</v>
      </c>
      <c r="B229" s="1">
        <v>45378</v>
      </c>
      <c r="C229" t="s">
        <v>55</v>
      </c>
      <c r="D229" t="s">
        <v>176</v>
      </c>
      <c r="E229" t="s">
        <v>254</v>
      </c>
      <c r="F229">
        <v>4</v>
      </c>
      <c r="G229">
        <v>4321.7700000000004</v>
      </c>
      <c r="H229">
        <v>0</v>
      </c>
      <c r="I229" t="str">
        <f>IF(Sales[[#This Row],[Discount]]&lt;=10,"0-10%",IF(Sales[[#This Row],[Discount]]&lt;=20,"10-20%","20-30%"))</f>
        <v>0-10%</v>
      </c>
      <c r="J229">
        <v>2805.11</v>
      </c>
      <c r="K229" t="s">
        <v>262</v>
      </c>
      <c r="L229" t="s">
        <v>267</v>
      </c>
      <c r="M229">
        <f t="shared" si="21"/>
        <v>11220.44</v>
      </c>
      <c r="N229">
        <f t="shared" si="22"/>
        <v>17287.080000000002</v>
      </c>
      <c r="O229">
        <f t="shared" si="23"/>
        <v>6066.6400000000012</v>
      </c>
      <c r="P229" s="2">
        <f t="shared" si="24"/>
        <v>0.35093491786929898</v>
      </c>
      <c r="Q229" t="str">
        <f t="shared" si="25"/>
        <v>Weekday</v>
      </c>
      <c r="R229" t="str">
        <f t="shared" si="26"/>
        <v>Mar</v>
      </c>
      <c r="S229">
        <f t="shared" si="27"/>
        <v>2024</v>
      </c>
    </row>
    <row r="230" spans="1:19" x14ac:dyDescent="0.25">
      <c r="A230">
        <v>100228</v>
      </c>
      <c r="B230" s="1">
        <v>44933</v>
      </c>
      <c r="C230" t="s">
        <v>39</v>
      </c>
      <c r="D230" t="s">
        <v>184</v>
      </c>
      <c r="E230" t="s">
        <v>255</v>
      </c>
      <c r="F230">
        <v>2</v>
      </c>
      <c r="G230">
        <v>1263.43</v>
      </c>
      <c r="H230">
        <v>10</v>
      </c>
      <c r="I230" t="str">
        <f>IF(Sales[[#This Row],[Discount]]&lt;=10,"0-10%",IF(Sales[[#This Row],[Discount]]&lt;=20,"10-20%","20-30%"))</f>
        <v>0-10%</v>
      </c>
      <c r="J230">
        <v>616.48</v>
      </c>
      <c r="K230" t="s">
        <v>261</v>
      </c>
      <c r="L230" t="s">
        <v>266</v>
      </c>
      <c r="M230">
        <f t="shared" si="21"/>
        <v>1232.96</v>
      </c>
      <c r="N230">
        <f t="shared" si="22"/>
        <v>2274.174</v>
      </c>
      <c r="O230">
        <f t="shared" si="23"/>
        <v>1041.2139999999999</v>
      </c>
      <c r="P230" s="2">
        <f t="shared" si="24"/>
        <v>0.4578427156409316</v>
      </c>
      <c r="Q230" t="str">
        <f t="shared" si="25"/>
        <v>Weekend</v>
      </c>
      <c r="R230" t="str">
        <f t="shared" si="26"/>
        <v>Jan</v>
      </c>
      <c r="S230">
        <f t="shared" si="27"/>
        <v>2023</v>
      </c>
    </row>
    <row r="231" spans="1:19" x14ac:dyDescent="0.25">
      <c r="A231">
        <v>100229</v>
      </c>
      <c r="B231" s="1">
        <v>45550</v>
      </c>
      <c r="C231" t="s">
        <v>49</v>
      </c>
      <c r="D231" t="s">
        <v>116</v>
      </c>
      <c r="E231" t="s">
        <v>259</v>
      </c>
      <c r="F231">
        <v>3</v>
      </c>
      <c r="G231">
        <v>3758.75</v>
      </c>
      <c r="H231">
        <v>30</v>
      </c>
      <c r="I231" t="str">
        <f>IF(Sales[[#This Row],[Discount]]&lt;=10,"0-10%",IF(Sales[[#This Row],[Discount]]&lt;=20,"10-20%","20-30%"))</f>
        <v>20-30%</v>
      </c>
      <c r="J231">
        <v>2459.87</v>
      </c>
      <c r="K231" t="s">
        <v>261</v>
      </c>
      <c r="L231" t="s">
        <v>264</v>
      </c>
      <c r="M231">
        <f t="shared" si="21"/>
        <v>7379.61</v>
      </c>
      <c r="N231">
        <f t="shared" si="22"/>
        <v>7893.3749999999991</v>
      </c>
      <c r="O231">
        <f t="shared" si="23"/>
        <v>513.76499999999942</v>
      </c>
      <c r="P231" s="2">
        <f t="shared" si="24"/>
        <v>6.5088127702028528E-2</v>
      </c>
      <c r="Q231" t="str">
        <f t="shared" si="25"/>
        <v>Weekend</v>
      </c>
      <c r="R231" t="str">
        <f t="shared" si="26"/>
        <v>Sep</v>
      </c>
      <c r="S231">
        <f t="shared" si="27"/>
        <v>2024</v>
      </c>
    </row>
    <row r="232" spans="1:19" x14ac:dyDescent="0.25">
      <c r="A232">
        <v>100230</v>
      </c>
      <c r="B232" s="1">
        <v>45440</v>
      </c>
      <c r="C232" t="s">
        <v>29</v>
      </c>
      <c r="D232" t="s">
        <v>86</v>
      </c>
      <c r="E232" t="s">
        <v>254</v>
      </c>
      <c r="F232">
        <v>3</v>
      </c>
      <c r="G232">
        <v>3040.3</v>
      </c>
      <c r="H232">
        <v>30</v>
      </c>
      <c r="I232" t="str">
        <f>IF(Sales[[#This Row],[Discount]]&lt;=10,"0-10%",IF(Sales[[#This Row],[Discount]]&lt;=20,"10-20%","20-30%"))</f>
        <v>20-30%</v>
      </c>
      <c r="J232">
        <v>1600.5</v>
      </c>
      <c r="K232" t="s">
        <v>268</v>
      </c>
      <c r="L232" t="s">
        <v>267</v>
      </c>
      <c r="M232">
        <f t="shared" si="21"/>
        <v>4801.5</v>
      </c>
      <c r="N232">
        <f t="shared" si="22"/>
        <v>6384.630000000001</v>
      </c>
      <c r="O232">
        <f t="shared" si="23"/>
        <v>1583.130000000001</v>
      </c>
      <c r="P232" s="2">
        <f t="shared" si="24"/>
        <v>0.2479595528636743</v>
      </c>
      <c r="Q232" t="str">
        <f t="shared" si="25"/>
        <v>Weekday</v>
      </c>
      <c r="R232" t="str">
        <f t="shared" si="26"/>
        <v>May</v>
      </c>
      <c r="S232">
        <f t="shared" si="27"/>
        <v>2024</v>
      </c>
    </row>
    <row r="233" spans="1:19" x14ac:dyDescent="0.25">
      <c r="A233">
        <v>100231</v>
      </c>
      <c r="B233" s="1">
        <v>45312</v>
      </c>
      <c r="C233" t="s">
        <v>45</v>
      </c>
      <c r="D233" t="s">
        <v>195</v>
      </c>
      <c r="E233" t="s">
        <v>259</v>
      </c>
      <c r="F233">
        <v>3</v>
      </c>
      <c r="G233">
        <v>3236.38</v>
      </c>
      <c r="H233">
        <v>0</v>
      </c>
      <c r="I233" t="str">
        <f>IF(Sales[[#This Row],[Discount]]&lt;=10,"0-10%",IF(Sales[[#This Row],[Discount]]&lt;=20,"10-20%","20-30%"))</f>
        <v>0-10%</v>
      </c>
      <c r="J233">
        <v>1620.65</v>
      </c>
      <c r="K233" t="s">
        <v>262</v>
      </c>
      <c r="L233" t="s">
        <v>266</v>
      </c>
      <c r="M233">
        <f t="shared" si="21"/>
        <v>4861.9500000000007</v>
      </c>
      <c r="N233">
        <f t="shared" si="22"/>
        <v>9709.14</v>
      </c>
      <c r="O233">
        <f t="shared" si="23"/>
        <v>4847.1899999999987</v>
      </c>
      <c r="P233" s="2">
        <f t="shared" si="24"/>
        <v>0.49923989148369463</v>
      </c>
      <c r="Q233" t="str">
        <f t="shared" si="25"/>
        <v>Weekend</v>
      </c>
      <c r="R233" t="str">
        <f t="shared" si="26"/>
        <v>Jan</v>
      </c>
      <c r="S233">
        <f t="shared" si="27"/>
        <v>2024</v>
      </c>
    </row>
    <row r="234" spans="1:19" x14ac:dyDescent="0.25">
      <c r="A234">
        <v>100232</v>
      </c>
      <c r="B234" s="1">
        <v>45182</v>
      </c>
      <c r="C234" t="s">
        <v>31</v>
      </c>
      <c r="D234" t="s">
        <v>121</v>
      </c>
      <c r="E234" t="s">
        <v>259</v>
      </c>
      <c r="F234">
        <v>3</v>
      </c>
      <c r="G234">
        <v>460.87</v>
      </c>
      <c r="H234">
        <v>15</v>
      </c>
      <c r="I234" t="str">
        <f>IF(Sales[[#This Row],[Discount]]&lt;=10,"0-10%",IF(Sales[[#This Row],[Discount]]&lt;=20,"10-20%","20-30%"))</f>
        <v>10-20%</v>
      </c>
      <c r="J234">
        <v>299.2</v>
      </c>
      <c r="K234" t="s">
        <v>261</v>
      </c>
      <c r="L234" t="s">
        <v>265</v>
      </c>
      <c r="M234">
        <f t="shared" si="21"/>
        <v>897.59999999999991</v>
      </c>
      <c r="N234">
        <f t="shared" si="22"/>
        <v>1175.2185000000002</v>
      </c>
      <c r="O234">
        <f t="shared" si="23"/>
        <v>277.61850000000027</v>
      </c>
      <c r="P234" s="2">
        <f t="shared" si="24"/>
        <v>0.2362271356347779</v>
      </c>
      <c r="Q234" t="str">
        <f t="shared" si="25"/>
        <v>Weekday</v>
      </c>
      <c r="R234" t="str">
        <f t="shared" si="26"/>
        <v>Sep</v>
      </c>
      <c r="S234">
        <f t="shared" si="27"/>
        <v>2023</v>
      </c>
    </row>
    <row r="235" spans="1:19" x14ac:dyDescent="0.25">
      <c r="A235">
        <v>100233</v>
      </c>
      <c r="B235" s="1">
        <v>45432</v>
      </c>
      <c r="C235" t="s">
        <v>56</v>
      </c>
      <c r="D235" t="s">
        <v>83</v>
      </c>
      <c r="E235" t="s">
        <v>256</v>
      </c>
      <c r="F235">
        <v>2</v>
      </c>
      <c r="G235">
        <v>4347.0200000000004</v>
      </c>
      <c r="H235">
        <v>5</v>
      </c>
      <c r="I235" t="str">
        <f>IF(Sales[[#This Row],[Discount]]&lt;=10,"0-10%",IF(Sales[[#This Row],[Discount]]&lt;=20,"10-20%","20-30%"))</f>
        <v>0-10%</v>
      </c>
      <c r="J235">
        <v>2025.07</v>
      </c>
      <c r="K235" t="s">
        <v>268</v>
      </c>
      <c r="L235" t="s">
        <v>266</v>
      </c>
      <c r="M235">
        <f t="shared" si="21"/>
        <v>4050.14</v>
      </c>
      <c r="N235">
        <f t="shared" si="22"/>
        <v>8259.3379999999997</v>
      </c>
      <c r="O235">
        <f t="shared" si="23"/>
        <v>4209.1980000000003</v>
      </c>
      <c r="P235" s="2">
        <f t="shared" si="24"/>
        <v>0.50962897994972489</v>
      </c>
      <c r="Q235" t="str">
        <f t="shared" si="25"/>
        <v>Weekday</v>
      </c>
      <c r="R235" t="str">
        <f t="shared" si="26"/>
        <v>May</v>
      </c>
      <c r="S235">
        <f t="shared" si="27"/>
        <v>2024</v>
      </c>
    </row>
    <row r="236" spans="1:19" x14ac:dyDescent="0.25">
      <c r="A236">
        <v>100234</v>
      </c>
      <c r="B236" s="1">
        <v>45558</v>
      </c>
      <c r="C236" t="s">
        <v>47</v>
      </c>
      <c r="D236" t="s">
        <v>196</v>
      </c>
      <c r="E236" t="s">
        <v>258</v>
      </c>
      <c r="F236">
        <v>4</v>
      </c>
      <c r="G236">
        <v>958.53</v>
      </c>
      <c r="H236">
        <v>0</v>
      </c>
      <c r="I236" t="str">
        <f>IF(Sales[[#This Row],[Discount]]&lt;=10,"0-10%",IF(Sales[[#This Row],[Discount]]&lt;=20,"10-20%","20-30%"))</f>
        <v>0-10%</v>
      </c>
      <c r="J236">
        <v>633.15</v>
      </c>
      <c r="K236" t="s">
        <v>262</v>
      </c>
      <c r="L236" t="s">
        <v>266</v>
      </c>
      <c r="M236">
        <f t="shared" si="21"/>
        <v>2532.6</v>
      </c>
      <c r="N236">
        <f t="shared" si="22"/>
        <v>3834.12</v>
      </c>
      <c r="O236">
        <f t="shared" si="23"/>
        <v>1301.52</v>
      </c>
      <c r="P236" s="2">
        <f t="shared" si="24"/>
        <v>0.33945729398140906</v>
      </c>
      <c r="Q236" t="str">
        <f t="shared" si="25"/>
        <v>Weekday</v>
      </c>
      <c r="R236" t="str">
        <f t="shared" si="26"/>
        <v>Sep</v>
      </c>
      <c r="S236">
        <f t="shared" si="27"/>
        <v>2024</v>
      </c>
    </row>
    <row r="237" spans="1:19" x14ac:dyDescent="0.25">
      <c r="A237">
        <v>100235</v>
      </c>
      <c r="B237" s="1">
        <v>45041</v>
      </c>
      <c r="C237" t="s">
        <v>32</v>
      </c>
      <c r="D237" t="s">
        <v>146</v>
      </c>
      <c r="E237" t="s">
        <v>255</v>
      </c>
      <c r="F237">
        <v>2</v>
      </c>
      <c r="G237">
        <v>2514.0100000000002</v>
      </c>
      <c r="H237">
        <v>25</v>
      </c>
      <c r="I237" t="str">
        <f>IF(Sales[[#This Row],[Discount]]&lt;=10,"0-10%",IF(Sales[[#This Row],[Discount]]&lt;=20,"10-20%","20-30%"))</f>
        <v>20-30%</v>
      </c>
      <c r="J237">
        <v>1142.95</v>
      </c>
      <c r="K237" t="s">
        <v>262</v>
      </c>
      <c r="L237" t="s">
        <v>263</v>
      </c>
      <c r="M237">
        <f t="shared" si="21"/>
        <v>2285.9</v>
      </c>
      <c r="N237">
        <f t="shared" si="22"/>
        <v>3771.0150000000003</v>
      </c>
      <c r="O237">
        <f t="shared" si="23"/>
        <v>1485.1150000000002</v>
      </c>
      <c r="P237" s="2">
        <f t="shared" si="24"/>
        <v>0.39382367877083496</v>
      </c>
      <c r="Q237" t="str">
        <f t="shared" si="25"/>
        <v>Weekday</v>
      </c>
      <c r="R237" t="str">
        <f t="shared" si="26"/>
        <v>Apr</v>
      </c>
      <c r="S237">
        <f t="shared" si="27"/>
        <v>2023</v>
      </c>
    </row>
    <row r="238" spans="1:19" x14ac:dyDescent="0.25">
      <c r="A238">
        <v>100236</v>
      </c>
      <c r="B238" s="1">
        <v>45285</v>
      </c>
      <c r="C238" t="s">
        <v>22</v>
      </c>
      <c r="D238" t="s">
        <v>197</v>
      </c>
      <c r="E238" t="s">
        <v>254</v>
      </c>
      <c r="F238">
        <v>1</v>
      </c>
      <c r="G238">
        <v>2845.68</v>
      </c>
      <c r="H238">
        <v>30</v>
      </c>
      <c r="I238" t="str">
        <f>IF(Sales[[#This Row],[Discount]]&lt;=10,"0-10%",IF(Sales[[#This Row],[Discount]]&lt;=20,"10-20%","20-30%"))</f>
        <v>20-30%</v>
      </c>
      <c r="J238">
        <v>1679.07</v>
      </c>
      <c r="K238" t="s">
        <v>262</v>
      </c>
      <c r="L238" t="s">
        <v>263</v>
      </c>
      <c r="M238">
        <f t="shared" si="21"/>
        <v>1679.07</v>
      </c>
      <c r="N238">
        <f t="shared" si="22"/>
        <v>1991.9759999999997</v>
      </c>
      <c r="O238">
        <f t="shared" si="23"/>
        <v>312.90599999999972</v>
      </c>
      <c r="P238" s="2">
        <f t="shared" si="24"/>
        <v>0.15708321787009472</v>
      </c>
      <c r="Q238" t="str">
        <f t="shared" si="25"/>
        <v>Weekday</v>
      </c>
      <c r="R238" t="str">
        <f t="shared" si="26"/>
        <v>Dec</v>
      </c>
      <c r="S238">
        <f t="shared" si="27"/>
        <v>2023</v>
      </c>
    </row>
    <row r="239" spans="1:19" x14ac:dyDescent="0.25">
      <c r="A239">
        <v>100237</v>
      </c>
      <c r="B239" s="1">
        <v>44955</v>
      </c>
      <c r="C239" t="s">
        <v>19</v>
      </c>
      <c r="D239" t="s">
        <v>140</v>
      </c>
      <c r="E239" t="s">
        <v>260</v>
      </c>
      <c r="F239">
        <v>3</v>
      </c>
      <c r="G239">
        <v>2282.0100000000002</v>
      </c>
      <c r="H239">
        <v>10</v>
      </c>
      <c r="I239" t="str">
        <f>IF(Sales[[#This Row],[Discount]]&lt;=10,"0-10%",IF(Sales[[#This Row],[Discount]]&lt;=20,"10-20%","20-30%"))</f>
        <v>0-10%</v>
      </c>
      <c r="J239">
        <v>1003.36</v>
      </c>
      <c r="K239" t="s">
        <v>261</v>
      </c>
      <c r="L239" t="s">
        <v>264</v>
      </c>
      <c r="M239">
        <f t="shared" si="21"/>
        <v>3010.08</v>
      </c>
      <c r="N239">
        <f t="shared" si="22"/>
        <v>6161.4270000000006</v>
      </c>
      <c r="O239">
        <f t="shared" si="23"/>
        <v>3151.3470000000007</v>
      </c>
      <c r="P239" s="2">
        <f t="shared" si="24"/>
        <v>0.51146382161145465</v>
      </c>
      <c r="Q239" t="str">
        <f t="shared" si="25"/>
        <v>Weekend</v>
      </c>
      <c r="R239" t="str">
        <f t="shared" si="26"/>
        <v>Jan</v>
      </c>
      <c r="S239">
        <f t="shared" si="27"/>
        <v>2023</v>
      </c>
    </row>
    <row r="240" spans="1:19" x14ac:dyDescent="0.25">
      <c r="A240">
        <v>100238</v>
      </c>
      <c r="B240" s="1">
        <v>45072</v>
      </c>
      <c r="C240" t="s">
        <v>42</v>
      </c>
      <c r="D240" t="s">
        <v>85</v>
      </c>
      <c r="E240" t="s">
        <v>260</v>
      </c>
      <c r="F240">
        <v>2</v>
      </c>
      <c r="G240">
        <v>1579.84</v>
      </c>
      <c r="H240">
        <v>15</v>
      </c>
      <c r="I240" t="str">
        <f>IF(Sales[[#This Row],[Discount]]&lt;=10,"0-10%",IF(Sales[[#This Row],[Discount]]&lt;=20,"10-20%","20-30%"))</f>
        <v>10-20%</v>
      </c>
      <c r="J240">
        <v>640.65</v>
      </c>
      <c r="K240" t="s">
        <v>262</v>
      </c>
      <c r="L240" t="s">
        <v>263</v>
      </c>
      <c r="M240">
        <f t="shared" si="21"/>
        <v>1281.3</v>
      </c>
      <c r="N240">
        <f t="shared" si="22"/>
        <v>2685.7279999999996</v>
      </c>
      <c r="O240">
        <f t="shared" si="23"/>
        <v>1404.4279999999997</v>
      </c>
      <c r="P240" s="2">
        <f t="shared" si="24"/>
        <v>0.52292264890562257</v>
      </c>
      <c r="Q240" t="str">
        <f t="shared" si="25"/>
        <v>Weekday</v>
      </c>
      <c r="R240" t="str">
        <f t="shared" si="26"/>
        <v>May</v>
      </c>
      <c r="S240">
        <f t="shared" si="27"/>
        <v>2023</v>
      </c>
    </row>
    <row r="241" spans="1:19" x14ac:dyDescent="0.25">
      <c r="A241">
        <v>100239</v>
      </c>
      <c r="B241" s="1">
        <v>44960</v>
      </c>
      <c r="C241" t="s">
        <v>33</v>
      </c>
      <c r="D241" t="s">
        <v>198</v>
      </c>
      <c r="E241" t="s">
        <v>258</v>
      </c>
      <c r="F241">
        <v>1</v>
      </c>
      <c r="G241">
        <v>4130.76</v>
      </c>
      <c r="H241">
        <v>0</v>
      </c>
      <c r="I241" t="str">
        <f>IF(Sales[[#This Row],[Discount]]&lt;=10,"0-10%",IF(Sales[[#This Row],[Discount]]&lt;=20,"10-20%","20-30%"))</f>
        <v>0-10%</v>
      </c>
      <c r="J241">
        <v>2269.5500000000002</v>
      </c>
      <c r="K241" t="s">
        <v>261</v>
      </c>
      <c r="L241" t="s">
        <v>266</v>
      </c>
      <c r="M241">
        <f t="shared" si="21"/>
        <v>2269.5500000000002</v>
      </c>
      <c r="N241">
        <f t="shared" si="22"/>
        <v>4130.76</v>
      </c>
      <c r="O241">
        <f t="shared" si="23"/>
        <v>1861.21</v>
      </c>
      <c r="P241" s="2">
        <f t="shared" si="24"/>
        <v>0.45057326012646581</v>
      </c>
      <c r="Q241" t="str">
        <f t="shared" si="25"/>
        <v>Weekday</v>
      </c>
      <c r="R241" t="str">
        <f t="shared" si="26"/>
        <v>Feb</v>
      </c>
      <c r="S241">
        <f t="shared" si="27"/>
        <v>2023</v>
      </c>
    </row>
    <row r="242" spans="1:19" x14ac:dyDescent="0.25">
      <c r="A242">
        <v>100240</v>
      </c>
      <c r="B242" s="1">
        <v>45525</v>
      </c>
      <c r="C242" t="s">
        <v>43</v>
      </c>
      <c r="D242" t="s">
        <v>123</v>
      </c>
      <c r="E242" t="s">
        <v>258</v>
      </c>
      <c r="F242">
        <v>1</v>
      </c>
      <c r="G242">
        <v>3361.68</v>
      </c>
      <c r="H242">
        <v>0</v>
      </c>
      <c r="I242" t="str">
        <f>IF(Sales[[#This Row],[Discount]]&lt;=10,"0-10%",IF(Sales[[#This Row],[Discount]]&lt;=20,"10-20%","20-30%"))</f>
        <v>0-10%</v>
      </c>
      <c r="J242">
        <v>2181.4699999999998</v>
      </c>
      <c r="K242" t="s">
        <v>268</v>
      </c>
      <c r="L242" t="s">
        <v>264</v>
      </c>
      <c r="M242">
        <f t="shared" si="21"/>
        <v>2181.4699999999998</v>
      </c>
      <c r="N242">
        <f t="shared" si="22"/>
        <v>3361.68</v>
      </c>
      <c r="O242">
        <f t="shared" si="23"/>
        <v>1180.21</v>
      </c>
      <c r="P242" s="2">
        <f t="shared" si="24"/>
        <v>0.35107743747174036</v>
      </c>
      <c r="Q242" t="str">
        <f t="shared" si="25"/>
        <v>Weekday</v>
      </c>
      <c r="R242" t="str">
        <f t="shared" si="26"/>
        <v>Aug</v>
      </c>
      <c r="S242">
        <f t="shared" si="27"/>
        <v>2024</v>
      </c>
    </row>
    <row r="243" spans="1:19" x14ac:dyDescent="0.25">
      <c r="A243">
        <v>100241</v>
      </c>
      <c r="B243" s="1">
        <v>45213</v>
      </c>
      <c r="C243" t="s">
        <v>39</v>
      </c>
      <c r="D243" t="s">
        <v>144</v>
      </c>
      <c r="E243" t="s">
        <v>255</v>
      </c>
      <c r="F243">
        <v>2</v>
      </c>
      <c r="G243">
        <v>958.09</v>
      </c>
      <c r="H243">
        <v>10</v>
      </c>
      <c r="I243" t="str">
        <f>IF(Sales[[#This Row],[Discount]]&lt;=10,"0-10%",IF(Sales[[#This Row],[Discount]]&lt;=20,"10-20%","20-30%"))</f>
        <v>0-10%</v>
      </c>
      <c r="J243">
        <v>459.03</v>
      </c>
      <c r="K243" t="s">
        <v>261</v>
      </c>
      <c r="L243" t="s">
        <v>264</v>
      </c>
      <c r="M243">
        <f t="shared" si="21"/>
        <v>918.06</v>
      </c>
      <c r="N243">
        <f t="shared" si="22"/>
        <v>1724.5620000000001</v>
      </c>
      <c r="O243">
        <f t="shared" si="23"/>
        <v>806.50200000000018</v>
      </c>
      <c r="P243" s="2">
        <f t="shared" si="24"/>
        <v>0.46765613529696243</v>
      </c>
      <c r="Q243" t="str">
        <f t="shared" si="25"/>
        <v>Weekend</v>
      </c>
      <c r="R243" t="str">
        <f t="shared" si="26"/>
        <v>Oct</v>
      </c>
      <c r="S243">
        <f t="shared" si="27"/>
        <v>2023</v>
      </c>
    </row>
    <row r="244" spans="1:19" x14ac:dyDescent="0.25">
      <c r="A244">
        <v>100242</v>
      </c>
      <c r="B244" s="1">
        <v>45381</v>
      </c>
      <c r="C244" t="s">
        <v>33</v>
      </c>
      <c r="D244" t="s">
        <v>199</v>
      </c>
      <c r="E244" t="s">
        <v>255</v>
      </c>
      <c r="F244">
        <v>3</v>
      </c>
      <c r="G244">
        <v>3107.84</v>
      </c>
      <c r="H244">
        <v>20</v>
      </c>
      <c r="I244" t="str">
        <f>IF(Sales[[#This Row],[Discount]]&lt;=10,"0-10%",IF(Sales[[#This Row],[Discount]]&lt;=20,"10-20%","20-30%"))</f>
        <v>10-20%</v>
      </c>
      <c r="J244">
        <v>1803.03</v>
      </c>
      <c r="K244" t="s">
        <v>268</v>
      </c>
      <c r="L244" t="s">
        <v>266</v>
      </c>
      <c r="M244">
        <f t="shared" si="21"/>
        <v>5409.09</v>
      </c>
      <c r="N244">
        <f t="shared" si="22"/>
        <v>7458.8160000000007</v>
      </c>
      <c r="O244">
        <f t="shared" si="23"/>
        <v>2049.7260000000006</v>
      </c>
      <c r="P244" s="2">
        <f t="shared" si="24"/>
        <v>0.27480581368410217</v>
      </c>
      <c r="Q244" t="str">
        <f t="shared" si="25"/>
        <v>Weekend</v>
      </c>
      <c r="R244" t="str">
        <f t="shared" si="26"/>
        <v>Mar</v>
      </c>
      <c r="S244">
        <f t="shared" si="27"/>
        <v>2024</v>
      </c>
    </row>
    <row r="245" spans="1:19" x14ac:dyDescent="0.25">
      <c r="A245">
        <v>100243</v>
      </c>
      <c r="B245" s="1">
        <v>45628</v>
      </c>
      <c r="C245" t="s">
        <v>58</v>
      </c>
      <c r="D245" t="s">
        <v>200</v>
      </c>
      <c r="E245" t="s">
        <v>256</v>
      </c>
      <c r="F245">
        <v>1</v>
      </c>
      <c r="G245">
        <v>4239.1000000000004</v>
      </c>
      <c r="H245">
        <v>0</v>
      </c>
      <c r="I245" t="str">
        <f>IF(Sales[[#This Row],[Discount]]&lt;=10,"0-10%",IF(Sales[[#This Row],[Discount]]&lt;=20,"10-20%","20-30%"))</f>
        <v>0-10%</v>
      </c>
      <c r="J245">
        <v>2209.9</v>
      </c>
      <c r="K245" t="s">
        <v>261</v>
      </c>
      <c r="L245" t="s">
        <v>267</v>
      </c>
      <c r="M245">
        <f t="shared" si="21"/>
        <v>2209.9</v>
      </c>
      <c r="N245">
        <f t="shared" si="22"/>
        <v>4239.1000000000004</v>
      </c>
      <c r="O245">
        <f t="shared" si="23"/>
        <v>2029.2000000000003</v>
      </c>
      <c r="P245" s="2">
        <f t="shared" si="24"/>
        <v>0.47868651364676468</v>
      </c>
      <c r="Q245" t="str">
        <f t="shared" si="25"/>
        <v>Weekday</v>
      </c>
      <c r="R245" t="str">
        <f t="shared" si="26"/>
        <v>Dec</v>
      </c>
      <c r="S245">
        <f t="shared" si="27"/>
        <v>2024</v>
      </c>
    </row>
    <row r="246" spans="1:19" x14ac:dyDescent="0.25">
      <c r="A246">
        <v>100244</v>
      </c>
      <c r="B246" s="1">
        <v>45289</v>
      </c>
      <c r="C246" t="s">
        <v>38</v>
      </c>
      <c r="D246" t="s">
        <v>155</v>
      </c>
      <c r="E246" t="s">
        <v>255</v>
      </c>
      <c r="F246">
        <v>2</v>
      </c>
      <c r="G246">
        <v>520.74</v>
      </c>
      <c r="H246">
        <v>5</v>
      </c>
      <c r="I246" t="str">
        <f>IF(Sales[[#This Row],[Discount]]&lt;=10,"0-10%",IF(Sales[[#This Row],[Discount]]&lt;=20,"10-20%","20-30%"))</f>
        <v>0-10%</v>
      </c>
      <c r="J246">
        <v>234.27</v>
      </c>
      <c r="K246" t="s">
        <v>268</v>
      </c>
      <c r="L246" t="s">
        <v>266</v>
      </c>
      <c r="M246">
        <f t="shared" si="21"/>
        <v>468.54</v>
      </c>
      <c r="N246">
        <f t="shared" si="22"/>
        <v>989.40599999999995</v>
      </c>
      <c r="O246">
        <f t="shared" si="23"/>
        <v>520.86599999999999</v>
      </c>
      <c r="P246" s="2">
        <f t="shared" si="24"/>
        <v>0.52644313861043901</v>
      </c>
      <c r="Q246" t="str">
        <f t="shared" si="25"/>
        <v>Weekday</v>
      </c>
      <c r="R246" t="str">
        <f t="shared" si="26"/>
        <v>Dec</v>
      </c>
      <c r="S246">
        <f t="shared" si="27"/>
        <v>2023</v>
      </c>
    </row>
    <row r="247" spans="1:19" x14ac:dyDescent="0.25">
      <c r="A247">
        <v>100245</v>
      </c>
      <c r="B247" s="1">
        <v>44955</v>
      </c>
      <c r="C247" t="s">
        <v>26</v>
      </c>
      <c r="D247" t="s">
        <v>186</v>
      </c>
      <c r="E247" t="s">
        <v>258</v>
      </c>
      <c r="F247">
        <v>3</v>
      </c>
      <c r="G247">
        <v>724.58</v>
      </c>
      <c r="H247">
        <v>20</v>
      </c>
      <c r="I247" t="str">
        <f>IF(Sales[[#This Row],[Discount]]&lt;=10,"0-10%",IF(Sales[[#This Row],[Discount]]&lt;=20,"10-20%","20-30%"))</f>
        <v>10-20%</v>
      </c>
      <c r="J247">
        <v>457.42</v>
      </c>
      <c r="K247" t="s">
        <v>262</v>
      </c>
      <c r="L247" t="s">
        <v>267</v>
      </c>
      <c r="M247">
        <f t="shared" si="21"/>
        <v>1372.26</v>
      </c>
      <c r="N247">
        <f t="shared" si="22"/>
        <v>1738.9920000000002</v>
      </c>
      <c r="O247">
        <f t="shared" si="23"/>
        <v>366.7320000000002</v>
      </c>
      <c r="P247" s="2">
        <f t="shared" si="24"/>
        <v>0.21088768665985821</v>
      </c>
      <c r="Q247" t="str">
        <f t="shared" si="25"/>
        <v>Weekend</v>
      </c>
      <c r="R247" t="str">
        <f t="shared" si="26"/>
        <v>Jan</v>
      </c>
      <c r="S247">
        <f t="shared" si="27"/>
        <v>2023</v>
      </c>
    </row>
    <row r="248" spans="1:19" x14ac:dyDescent="0.25">
      <c r="A248">
        <v>100246</v>
      </c>
      <c r="B248" s="1">
        <v>45039</v>
      </c>
      <c r="C248" t="s">
        <v>55</v>
      </c>
      <c r="D248" t="s">
        <v>94</v>
      </c>
      <c r="E248" t="s">
        <v>260</v>
      </c>
      <c r="F248">
        <v>3</v>
      </c>
      <c r="G248">
        <v>1656.86</v>
      </c>
      <c r="H248">
        <v>20</v>
      </c>
      <c r="I248" t="str">
        <f>IF(Sales[[#This Row],[Discount]]&lt;=10,"0-10%",IF(Sales[[#This Row],[Discount]]&lt;=20,"10-20%","20-30%"))</f>
        <v>10-20%</v>
      </c>
      <c r="J248">
        <v>839.53</v>
      </c>
      <c r="K248" t="s">
        <v>268</v>
      </c>
      <c r="L248" t="s">
        <v>265</v>
      </c>
      <c r="M248">
        <f t="shared" si="21"/>
        <v>2518.59</v>
      </c>
      <c r="N248">
        <f t="shared" si="22"/>
        <v>3976.4639999999999</v>
      </c>
      <c r="O248">
        <f t="shared" si="23"/>
        <v>1457.8739999999998</v>
      </c>
      <c r="P248" s="2">
        <f t="shared" si="24"/>
        <v>0.36662572577043318</v>
      </c>
      <c r="Q248" t="str">
        <f t="shared" si="25"/>
        <v>Weekend</v>
      </c>
      <c r="R248" t="str">
        <f t="shared" si="26"/>
        <v>Apr</v>
      </c>
      <c r="S248">
        <f t="shared" si="27"/>
        <v>2023</v>
      </c>
    </row>
    <row r="249" spans="1:19" x14ac:dyDescent="0.25">
      <c r="A249">
        <v>100247</v>
      </c>
      <c r="B249" s="1">
        <v>44981</v>
      </c>
      <c r="C249" t="s">
        <v>59</v>
      </c>
      <c r="D249" t="s">
        <v>166</v>
      </c>
      <c r="E249" t="s">
        <v>257</v>
      </c>
      <c r="F249">
        <v>3</v>
      </c>
      <c r="G249">
        <v>3168.9</v>
      </c>
      <c r="H249">
        <v>0</v>
      </c>
      <c r="I249" t="str">
        <f>IF(Sales[[#This Row],[Discount]]&lt;=10,"0-10%",IF(Sales[[#This Row],[Discount]]&lt;=20,"10-20%","20-30%"))</f>
        <v>0-10%</v>
      </c>
      <c r="J249">
        <v>2170.04</v>
      </c>
      <c r="K249" t="s">
        <v>262</v>
      </c>
      <c r="L249" t="s">
        <v>264</v>
      </c>
      <c r="M249">
        <f t="shared" si="21"/>
        <v>6510.12</v>
      </c>
      <c r="N249">
        <f t="shared" si="22"/>
        <v>9506.7000000000007</v>
      </c>
      <c r="O249">
        <f t="shared" si="23"/>
        <v>2996.5800000000008</v>
      </c>
      <c r="P249" s="2">
        <f t="shared" si="24"/>
        <v>0.3152071696803308</v>
      </c>
      <c r="Q249" t="str">
        <f t="shared" si="25"/>
        <v>Weekday</v>
      </c>
      <c r="R249" t="str">
        <f t="shared" si="26"/>
        <v>Feb</v>
      </c>
      <c r="S249">
        <f t="shared" si="27"/>
        <v>2023</v>
      </c>
    </row>
    <row r="250" spans="1:19" x14ac:dyDescent="0.25">
      <c r="A250">
        <v>100248</v>
      </c>
      <c r="B250" s="1">
        <v>45215</v>
      </c>
      <c r="C250" t="s">
        <v>16</v>
      </c>
      <c r="D250" t="s">
        <v>201</v>
      </c>
      <c r="E250" t="s">
        <v>254</v>
      </c>
      <c r="F250">
        <v>4</v>
      </c>
      <c r="G250">
        <v>4703.1000000000004</v>
      </c>
      <c r="H250">
        <v>25</v>
      </c>
      <c r="I250" t="str">
        <f>IF(Sales[[#This Row],[Discount]]&lt;=10,"0-10%",IF(Sales[[#This Row],[Discount]]&lt;=20,"10-20%","20-30%"))</f>
        <v>20-30%</v>
      </c>
      <c r="J250">
        <v>2914.85</v>
      </c>
      <c r="K250" t="s">
        <v>262</v>
      </c>
      <c r="L250" t="s">
        <v>264</v>
      </c>
      <c r="M250">
        <f t="shared" si="21"/>
        <v>11659.4</v>
      </c>
      <c r="N250">
        <f t="shared" si="22"/>
        <v>14109.300000000001</v>
      </c>
      <c r="O250">
        <f t="shared" si="23"/>
        <v>2449.9000000000015</v>
      </c>
      <c r="P250" s="2">
        <f t="shared" si="24"/>
        <v>0.17363724635524097</v>
      </c>
      <c r="Q250" t="str">
        <f t="shared" si="25"/>
        <v>Weekday</v>
      </c>
      <c r="R250" t="str">
        <f t="shared" si="26"/>
        <v>Oct</v>
      </c>
      <c r="S250">
        <f t="shared" si="27"/>
        <v>2023</v>
      </c>
    </row>
    <row r="251" spans="1:19" x14ac:dyDescent="0.25">
      <c r="A251">
        <v>100249</v>
      </c>
      <c r="B251" s="1">
        <v>45417</v>
      </c>
      <c r="C251" t="s">
        <v>28</v>
      </c>
      <c r="D251" t="s">
        <v>76</v>
      </c>
      <c r="E251" t="s">
        <v>257</v>
      </c>
      <c r="F251">
        <v>3</v>
      </c>
      <c r="G251">
        <v>1532.64</v>
      </c>
      <c r="H251">
        <v>20</v>
      </c>
      <c r="I251" t="str">
        <f>IF(Sales[[#This Row],[Discount]]&lt;=10,"0-10%",IF(Sales[[#This Row],[Discount]]&lt;=20,"10-20%","20-30%"))</f>
        <v>10-20%</v>
      </c>
      <c r="J251">
        <v>886.67</v>
      </c>
      <c r="K251" t="s">
        <v>268</v>
      </c>
      <c r="L251" t="s">
        <v>263</v>
      </c>
      <c r="M251">
        <f t="shared" si="21"/>
        <v>2660.0099999999998</v>
      </c>
      <c r="N251">
        <f t="shared" si="22"/>
        <v>3678.3360000000002</v>
      </c>
      <c r="O251">
        <f t="shared" si="23"/>
        <v>1018.3260000000005</v>
      </c>
      <c r="P251" s="2">
        <f t="shared" si="24"/>
        <v>0.27684420346591515</v>
      </c>
      <c r="Q251" t="str">
        <f t="shared" si="25"/>
        <v>Weekend</v>
      </c>
      <c r="R251" t="str">
        <f t="shared" si="26"/>
        <v>May</v>
      </c>
      <c r="S251">
        <f t="shared" si="27"/>
        <v>2024</v>
      </c>
    </row>
    <row r="252" spans="1:19" x14ac:dyDescent="0.25">
      <c r="A252">
        <v>100250</v>
      </c>
      <c r="B252" s="1">
        <v>45127</v>
      </c>
      <c r="C252" t="s">
        <v>33</v>
      </c>
      <c r="D252" t="s">
        <v>188</v>
      </c>
      <c r="E252" t="s">
        <v>254</v>
      </c>
      <c r="F252">
        <v>2</v>
      </c>
      <c r="G252">
        <v>4789.6099999999997</v>
      </c>
      <c r="H252">
        <v>5</v>
      </c>
      <c r="I252" t="str">
        <f>IF(Sales[[#This Row],[Discount]]&lt;=10,"0-10%",IF(Sales[[#This Row],[Discount]]&lt;=20,"10-20%","20-30%"))</f>
        <v>0-10%</v>
      </c>
      <c r="J252">
        <v>2138.09</v>
      </c>
      <c r="K252" t="s">
        <v>262</v>
      </c>
      <c r="L252" t="s">
        <v>266</v>
      </c>
      <c r="M252">
        <f t="shared" si="21"/>
        <v>4276.18</v>
      </c>
      <c r="N252">
        <f t="shared" si="22"/>
        <v>9100.2589999999982</v>
      </c>
      <c r="O252">
        <f t="shared" si="23"/>
        <v>4824.0789999999979</v>
      </c>
      <c r="P252" s="2">
        <f t="shared" si="24"/>
        <v>0.53010348386787665</v>
      </c>
      <c r="Q252" t="str">
        <f t="shared" si="25"/>
        <v>Weekday</v>
      </c>
      <c r="R252" t="str">
        <f t="shared" si="26"/>
        <v>Jul</v>
      </c>
      <c r="S252">
        <f t="shared" si="27"/>
        <v>2023</v>
      </c>
    </row>
    <row r="253" spans="1:19" x14ac:dyDescent="0.25">
      <c r="A253">
        <v>100251</v>
      </c>
      <c r="B253" s="1">
        <v>44943</v>
      </c>
      <c r="C253" t="s">
        <v>47</v>
      </c>
      <c r="D253" t="s">
        <v>86</v>
      </c>
      <c r="E253" t="s">
        <v>260</v>
      </c>
      <c r="F253">
        <v>2</v>
      </c>
      <c r="G253">
        <v>801.01</v>
      </c>
      <c r="H253">
        <v>0</v>
      </c>
      <c r="I253" t="str">
        <f>IF(Sales[[#This Row],[Discount]]&lt;=10,"0-10%",IF(Sales[[#This Row],[Discount]]&lt;=20,"10-20%","20-30%"))</f>
        <v>0-10%</v>
      </c>
      <c r="J253">
        <v>338.46</v>
      </c>
      <c r="K253" t="s">
        <v>261</v>
      </c>
      <c r="L253" t="s">
        <v>263</v>
      </c>
      <c r="M253">
        <f t="shared" si="21"/>
        <v>676.92</v>
      </c>
      <c r="N253">
        <f t="shared" si="22"/>
        <v>1602.02</v>
      </c>
      <c r="O253">
        <f t="shared" si="23"/>
        <v>925.1</v>
      </c>
      <c r="P253" s="2">
        <f t="shared" si="24"/>
        <v>0.5774584586958964</v>
      </c>
      <c r="Q253" t="str">
        <f t="shared" si="25"/>
        <v>Weekday</v>
      </c>
      <c r="R253" t="str">
        <f t="shared" si="26"/>
        <v>Jan</v>
      </c>
      <c r="S253">
        <f t="shared" si="27"/>
        <v>2023</v>
      </c>
    </row>
    <row r="254" spans="1:19" x14ac:dyDescent="0.25">
      <c r="A254">
        <v>100252</v>
      </c>
      <c r="B254" s="1">
        <v>44951</v>
      </c>
      <c r="C254" t="s">
        <v>59</v>
      </c>
      <c r="D254" t="s">
        <v>96</v>
      </c>
      <c r="E254" t="s">
        <v>258</v>
      </c>
      <c r="F254">
        <v>1</v>
      </c>
      <c r="G254">
        <v>3613.15</v>
      </c>
      <c r="H254">
        <v>5</v>
      </c>
      <c r="I254" t="str">
        <f>IF(Sales[[#This Row],[Discount]]&lt;=10,"0-10%",IF(Sales[[#This Row],[Discount]]&lt;=20,"10-20%","20-30%"))</f>
        <v>0-10%</v>
      </c>
      <c r="J254">
        <v>2093.77</v>
      </c>
      <c r="K254" t="s">
        <v>268</v>
      </c>
      <c r="L254" t="s">
        <v>267</v>
      </c>
      <c r="M254">
        <f t="shared" si="21"/>
        <v>2093.77</v>
      </c>
      <c r="N254">
        <f t="shared" si="22"/>
        <v>3432.4924999999998</v>
      </c>
      <c r="O254">
        <f t="shared" si="23"/>
        <v>1338.7224999999999</v>
      </c>
      <c r="P254" s="2">
        <f t="shared" si="24"/>
        <v>0.39001469049094789</v>
      </c>
      <c r="Q254" t="str">
        <f t="shared" si="25"/>
        <v>Weekday</v>
      </c>
      <c r="R254" t="str">
        <f t="shared" si="26"/>
        <v>Jan</v>
      </c>
      <c r="S254">
        <f t="shared" si="27"/>
        <v>2023</v>
      </c>
    </row>
    <row r="255" spans="1:19" x14ac:dyDescent="0.25">
      <c r="A255">
        <v>100253</v>
      </c>
      <c r="B255" s="1">
        <v>45098</v>
      </c>
      <c r="C255" t="s">
        <v>52</v>
      </c>
      <c r="D255" t="s">
        <v>190</v>
      </c>
      <c r="E255" t="s">
        <v>256</v>
      </c>
      <c r="F255">
        <v>3</v>
      </c>
      <c r="G255">
        <v>4149.78</v>
      </c>
      <c r="H255">
        <v>10</v>
      </c>
      <c r="I255" t="str">
        <f>IF(Sales[[#This Row],[Discount]]&lt;=10,"0-10%",IF(Sales[[#This Row],[Discount]]&lt;=20,"10-20%","20-30%"))</f>
        <v>0-10%</v>
      </c>
      <c r="J255">
        <v>2655.13</v>
      </c>
      <c r="K255" t="s">
        <v>268</v>
      </c>
      <c r="L255" t="s">
        <v>266</v>
      </c>
      <c r="M255">
        <f t="shared" si="21"/>
        <v>7965.39</v>
      </c>
      <c r="N255">
        <f t="shared" si="22"/>
        <v>11204.406000000001</v>
      </c>
      <c r="O255">
        <f t="shared" si="23"/>
        <v>3239.0160000000005</v>
      </c>
      <c r="P255" s="2">
        <f t="shared" si="24"/>
        <v>0.28908413350962114</v>
      </c>
      <c r="Q255" t="str">
        <f t="shared" si="25"/>
        <v>Weekday</v>
      </c>
      <c r="R255" t="str">
        <f t="shared" si="26"/>
        <v>Jun</v>
      </c>
      <c r="S255">
        <f t="shared" si="27"/>
        <v>2023</v>
      </c>
    </row>
    <row r="256" spans="1:19" x14ac:dyDescent="0.25">
      <c r="A256">
        <v>100254</v>
      </c>
      <c r="B256" s="1">
        <v>45539</v>
      </c>
      <c r="C256" t="s">
        <v>25</v>
      </c>
      <c r="D256" t="s">
        <v>72</v>
      </c>
      <c r="E256" t="s">
        <v>258</v>
      </c>
      <c r="F256">
        <v>2</v>
      </c>
      <c r="G256">
        <v>324.69</v>
      </c>
      <c r="H256">
        <v>20</v>
      </c>
      <c r="I256" t="str">
        <f>IF(Sales[[#This Row],[Discount]]&lt;=10,"0-10%",IF(Sales[[#This Row],[Discount]]&lt;=20,"10-20%","20-30%"))</f>
        <v>10-20%</v>
      </c>
      <c r="J256">
        <v>139.91999999999999</v>
      </c>
      <c r="K256" t="s">
        <v>261</v>
      </c>
      <c r="L256" t="s">
        <v>266</v>
      </c>
      <c r="M256">
        <f t="shared" si="21"/>
        <v>279.83999999999997</v>
      </c>
      <c r="N256">
        <f t="shared" si="22"/>
        <v>519.50400000000002</v>
      </c>
      <c r="O256">
        <f t="shared" si="23"/>
        <v>239.66400000000004</v>
      </c>
      <c r="P256" s="2">
        <f t="shared" si="24"/>
        <v>0.46133234777788051</v>
      </c>
      <c r="Q256" t="str">
        <f t="shared" si="25"/>
        <v>Weekday</v>
      </c>
      <c r="R256" t="str">
        <f t="shared" si="26"/>
        <v>Sep</v>
      </c>
      <c r="S256">
        <f t="shared" si="27"/>
        <v>2024</v>
      </c>
    </row>
    <row r="257" spans="1:19" x14ac:dyDescent="0.25">
      <c r="A257">
        <v>100255</v>
      </c>
      <c r="B257" s="1">
        <v>45256</v>
      </c>
      <c r="C257" t="s">
        <v>44</v>
      </c>
      <c r="D257" t="s">
        <v>202</v>
      </c>
      <c r="E257" t="s">
        <v>255</v>
      </c>
      <c r="F257">
        <v>3</v>
      </c>
      <c r="G257">
        <v>4611.37</v>
      </c>
      <c r="H257">
        <v>25</v>
      </c>
      <c r="I257" t="str">
        <f>IF(Sales[[#This Row],[Discount]]&lt;=10,"0-10%",IF(Sales[[#This Row],[Discount]]&lt;=20,"10-20%","20-30%"))</f>
        <v>20-30%</v>
      </c>
      <c r="J257">
        <v>2033.82</v>
      </c>
      <c r="K257" t="s">
        <v>262</v>
      </c>
      <c r="L257" t="s">
        <v>263</v>
      </c>
      <c r="M257">
        <f t="shared" si="21"/>
        <v>6101.46</v>
      </c>
      <c r="N257">
        <f t="shared" si="22"/>
        <v>10375.5825</v>
      </c>
      <c r="O257">
        <f t="shared" si="23"/>
        <v>4274.1225000000004</v>
      </c>
      <c r="P257" s="2">
        <f t="shared" si="24"/>
        <v>0.41194048623294166</v>
      </c>
      <c r="Q257" t="str">
        <f t="shared" si="25"/>
        <v>Weekend</v>
      </c>
      <c r="R257" t="str">
        <f t="shared" si="26"/>
        <v>Nov</v>
      </c>
      <c r="S257">
        <f t="shared" si="27"/>
        <v>2023</v>
      </c>
    </row>
    <row r="258" spans="1:19" x14ac:dyDescent="0.25">
      <c r="A258">
        <v>100256</v>
      </c>
      <c r="B258" s="1">
        <v>45518</v>
      </c>
      <c r="C258" t="s">
        <v>28</v>
      </c>
      <c r="D258" t="s">
        <v>153</v>
      </c>
      <c r="E258" t="s">
        <v>254</v>
      </c>
      <c r="F258">
        <v>3</v>
      </c>
      <c r="G258">
        <v>2750.11</v>
      </c>
      <c r="H258">
        <v>15</v>
      </c>
      <c r="I258" t="str">
        <f>IF(Sales[[#This Row],[Discount]]&lt;=10,"0-10%",IF(Sales[[#This Row],[Discount]]&lt;=20,"10-20%","20-30%"))</f>
        <v>10-20%</v>
      </c>
      <c r="J258">
        <v>1171.58</v>
      </c>
      <c r="K258" t="s">
        <v>268</v>
      </c>
      <c r="L258" t="s">
        <v>267</v>
      </c>
      <c r="M258">
        <f t="shared" si="21"/>
        <v>3514.74</v>
      </c>
      <c r="N258">
        <f t="shared" si="22"/>
        <v>7012.7804999999998</v>
      </c>
      <c r="O258">
        <f t="shared" si="23"/>
        <v>3498.0405000000001</v>
      </c>
      <c r="P258" s="2">
        <f t="shared" si="24"/>
        <v>0.4988093524387367</v>
      </c>
      <c r="Q258" t="str">
        <f t="shared" si="25"/>
        <v>Weekday</v>
      </c>
      <c r="R258" t="str">
        <f t="shared" si="26"/>
        <v>Aug</v>
      </c>
      <c r="S258">
        <f t="shared" si="27"/>
        <v>2024</v>
      </c>
    </row>
    <row r="259" spans="1:19" x14ac:dyDescent="0.25">
      <c r="A259">
        <v>100257</v>
      </c>
      <c r="B259" s="1">
        <v>45411</v>
      </c>
      <c r="C259" t="s">
        <v>19</v>
      </c>
      <c r="D259" t="s">
        <v>158</v>
      </c>
      <c r="E259" t="s">
        <v>257</v>
      </c>
      <c r="F259">
        <v>4</v>
      </c>
      <c r="G259">
        <v>3303.06</v>
      </c>
      <c r="H259">
        <v>25</v>
      </c>
      <c r="I259" t="str">
        <f>IF(Sales[[#This Row],[Discount]]&lt;=10,"0-10%",IF(Sales[[#This Row],[Discount]]&lt;=20,"10-20%","20-30%"))</f>
        <v>20-30%</v>
      </c>
      <c r="J259">
        <v>2073.37</v>
      </c>
      <c r="K259" t="s">
        <v>261</v>
      </c>
      <c r="L259" t="s">
        <v>265</v>
      </c>
      <c r="M259">
        <f t="shared" ref="M259:M322" si="28">F259*J259</f>
        <v>8293.48</v>
      </c>
      <c r="N259">
        <f t="shared" ref="N259:N322" si="29">F259*G259*(1-H259/100)</f>
        <v>9909.18</v>
      </c>
      <c r="O259">
        <f t="shared" ref="O259:O322" si="30">N259-M259</f>
        <v>1615.7000000000007</v>
      </c>
      <c r="P259" s="2">
        <f t="shared" ref="P259:P322" si="31">O259/N259</f>
        <v>0.16305082761641232</v>
      </c>
      <c r="Q259" t="str">
        <f t="shared" ref="Q259:Q322" si="32">IF(WEEKDAY(B259,2)&gt;5,"Weekend","Weekday")</f>
        <v>Weekday</v>
      </c>
      <c r="R259" t="str">
        <f t="shared" ref="R259:R322" si="33">TEXT(B259,"mmm")</f>
        <v>Apr</v>
      </c>
      <c r="S259">
        <f t="shared" ref="S259:S322" si="34">YEAR(B259)</f>
        <v>2024</v>
      </c>
    </row>
    <row r="260" spans="1:19" x14ac:dyDescent="0.25">
      <c r="A260">
        <v>100258</v>
      </c>
      <c r="B260" s="1">
        <v>45015</v>
      </c>
      <c r="C260" t="s">
        <v>27</v>
      </c>
      <c r="D260" t="s">
        <v>129</v>
      </c>
      <c r="E260" t="s">
        <v>259</v>
      </c>
      <c r="F260">
        <v>4</v>
      </c>
      <c r="G260">
        <v>4291.22</v>
      </c>
      <c r="H260">
        <v>20</v>
      </c>
      <c r="I260" t="str">
        <f>IF(Sales[[#This Row],[Discount]]&lt;=10,"0-10%",IF(Sales[[#This Row],[Discount]]&lt;=20,"10-20%","20-30%"))</f>
        <v>10-20%</v>
      </c>
      <c r="J260">
        <v>2037.9</v>
      </c>
      <c r="K260" t="s">
        <v>261</v>
      </c>
      <c r="L260" t="s">
        <v>266</v>
      </c>
      <c r="M260">
        <f t="shared" si="28"/>
        <v>8151.6</v>
      </c>
      <c r="N260">
        <f t="shared" si="29"/>
        <v>13731.904000000002</v>
      </c>
      <c r="O260">
        <f t="shared" si="30"/>
        <v>5580.3040000000019</v>
      </c>
      <c r="P260" s="2">
        <f t="shared" si="31"/>
        <v>0.40637511010854727</v>
      </c>
      <c r="Q260" t="str">
        <f t="shared" si="32"/>
        <v>Weekday</v>
      </c>
      <c r="R260" t="str">
        <f t="shared" si="33"/>
        <v>Mar</v>
      </c>
      <c r="S260">
        <f t="shared" si="34"/>
        <v>2023</v>
      </c>
    </row>
    <row r="261" spans="1:19" x14ac:dyDescent="0.25">
      <c r="A261">
        <v>100259</v>
      </c>
      <c r="B261" s="1">
        <v>45464</v>
      </c>
      <c r="C261" t="s">
        <v>13</v>
      </c>
      <c r="D261" t="s">
        <v>183</v>
      </c>
      <c r="E261" t="s">
        <v>255</v>
      </c>
      <c r="F261">
        <v>3</v>
      </c>
      <c r="G261">
        <v>3557.92</v>
      </c>
      <c r="H261">
        <v>20</v>
      </c>
      <c r="I261" t="str">
        <f>IF(Sales[[#This Row],[Discount]]&lt;=10,"0-10%",IF(Sales[[#This Row],[Discount]]&lt;=20,"10-20%","20-30%"))</f>
        <v>10-20%</v>
      </c>
      <c r="J261">
        <v>1478.24</v>
      </c>
      <c r="K261" t="s">
        <v>268</v>
      </c>
      <c r="L261" t="s">
        <v>266</v>
      </c>
      <c r="M261">
        <f t="shared" si="28"/>
        <v>4434.72</v>
      </c>
      <c r="N261">
        <f t="shared" si="29"/>
        <v>8539.0079999999998</v>
      </c>
      <c r="O261">
        <f t="shared" si="30"/>
        <v>4104.2879999999996</v>
      </c>
      <c r="P261" s="2">
        <f t="shared" si="31"/>
        <v>0.48065161667491113</v>
      </c>
      <c r="Q261" t="str">
        <f t="shared" si="32"/>
        <v>Weekday</v>
      </c>
      <c r="R261" t="str">
        <f t="shared" si="33"/>
        <v>Jun</v>
      </c>
      <c r="S261">
        <f t="shared" si="34"/>
        <v>2024</v>
      </c>
    </row>
    <row r="262" spans="1:19" x14ac:dyDescent="0.25">
      <c r="A262">
        <v>100260</v>
      </c>
      <c r="B262" s="1">
        <v>45012</v>
      </c>
      <c r="C262" t="s">
        <v>28</v>
      </c>
      <c r="D262" t="s">
        <v>181</v>
      </c>
      <c r="E262" t="s">
        <v>256</v>
      </c>
      <c r="F262">
        <v>4</v>
      </c>
      <c r="G262">
        <v>3616.2</v>
      </c>
      <c r="H262">
        <v>5</v>
      </c>
      <c r="I262" t="str">
        <f>IF(Sales[[#This Row],[Discount]]&lt;=10,"0-10%",IF(Sales[[#This Row],[Discount]]&lt;=20,"10-20%","20-30%"))</f>
        <v>0-10%</v>
      </c>
      <c r="J262">
        <v>2450.2399999999998</v>
      </c>
      <c r="K262" t="s">
        <v>261</v>
      </c>
      <c r="L262" t="s">
        <v>265</v>
      </c>
      <c r="M262">
        <f t="shared" si="28"/>
        <v>9800.9599999999991</v>
      </c>
      <c r="N262">
        <f t="shared" si="29"/>
        <v>13741.56</v>
      </c>
      <c r="O262">
        <f t="shared" si="30"/>
        <v>3940.6000000000004</v>
      </c>
      <c r="P262" s="2">
        <f t="shared" si="31"/>
        <v>0.28676511254908471</v>
      </c>
      <c r="Q262" t="str">
        <f t="shared" si="32"/>
        <v>Weekday</v>
      </c>
      <c r="R262" t="str">
        <f t="shared" si="33"/>
        <v>Mar</v>
      </c>
      <c r="S262">
        <f t="shared" si="34"/>
        <v>2023</v>
      </c>
    </row>
    <row r="263" spans="1:19" x14ac:dyDescent="0.25">
      <c r="A263">
        <v>100261</v>
      </c>
      <c r="B263" s="1">
        <v>45614</v>
      </c>
      <c r="C263" t="s">
        <v>45</v>
      </c>
      <c r="D263" t="s">
        <v>175</v>
      </c>
      <c r="E263" t="s">
        <v>256</v>
      </c>
      <c r="F263">
        <v>2</v>
      </c>
      <c r="G263">
        <v>866.46</v>
      </c>
      <c r="H263">
        <v>25</v>
      </c>
      <c r="I263" t="str">
        <f>IF(Sales[[#This Row],[Discount]]&lt;=10,"0-10%",IF(Sales[[#This Row],[Discount]]&lt;=20,"10-20%","20-30%"))</f>
        <v>20-30%</v>
      </c>
      <c r="J263">
        <v>536.6</v>
      </c>
      <c r="K263" t="s">
        <v>268</v>
      </c>
      <c r="L263" t="s">
        <v>265</v>
      </c>
      <c r="M263">
        <f t="shared" si="28"/>
        <v>1073.2</v>
      </c>
      <c r="N263">
        <f t="shared" si="29"/>
        <v>1299.69</v>
      </c>
      <c r="O263">
        <f t="shared" si="30"/>
        <v>226.49</v>
      </c>
      <c r="P263" s="2">
        <f t="shared" si="31"/>
        <v>0.17426463233540307</v>
      </c>
      <c r="Q263" t="str">
        <f t="shared" si="32"/>
        <v>Weekday</v>
      </c>
      <c r="R263" t="str">
        <f t="shared" si="33"/>
        <v>Nov</v>
      </c>
      <c r="S263">
        <f t="shared" si="34"/>
        <v>2024</v>
      </c>
    </row>
    <row r="264" spans="1:19" x14ac:dyDescent="0.25">
      <c r="A264">
        <v>100262</v>
      </c>
      <c r="B264" s="1">
        <v>45149</v>
      </c>
      <c r="C264" t="s">
        <v>26</v>
      </c>
      <c r="D264" t="s">
        <v>203</v>
      </c>
      <c r="E264" t="s">
        <v>258</v>
      </c>
      <c r="F264">
        <v>2</v>
      </c>
      <c r="G264">
        <v>2282.2800000000002</v>
      </c>
      <c r="H264">
        <v>0</v>
      </c>
      <c r="I264" t="str">
        <f>IF(Sales[[#This Row],[Discount]]&lt;=10,"0-10%",IF(Sales[[#This Row],[Discount]]&lt;=20,"10-20%","20-30%"))</f>
        <v>0-10%</v>
      </c>
      <c r="J264">
        <v>1457.47</v>
      </c>
      <c r="K264" t="s">
        <v>268</v>
      </c>
      <c r="L264" t="s">
        <v>267</v>
      </c>
      <c r="M264">
        <f t="shared" si="28"/>
        <v>2914.94</v>
      </c>
      <c r="N264">
        <f t="shared" si="29"/>
        <v>4564.5600000000004</v>
      </c>
      <c r="O264">
        <f t="shared" si="30"/>
        <v>1649.6200000000003</v>
      </c>
      <c r="P264" s="2">
        <f t="shared" si="31"/>
        <v>0.36139737455526932</v>
      </c>
      <c r="Q264" t="str">
        <f t="shared" si="32"/>
        <v>Weekday</v>
      </c>
      <c r="R264" t="str">
        <f t="shared" si="33"/>
        <v>Aug</v>
      </c>
      <c r="S264">
        <f t="shared" si="34"/>
        <v>2023</v>
      </c>
    </row>
    <row r="265" spans="1:19" x14ac:dyDescent="0.25">
      <c r="A265">
        <v>100263</v>
      </c>
      <c r="B265" s="1">
        <v>45541</v>
      </c>
      <c r="C265" t="s">
        <v>12</v>
      </c>
      <c r="D265" t="s">
        <v>198</v>
      </c>
      <c r="E265" t="s">
        <v>259</v>
      </c>
      <c r="F265">
        <v>3</v>
      </c>
      <c r="G265">
        <v>2439.1799999999998</v>
      </c>
      <c r="H265">
        <v>5</v>
      </c>
      <c r="I265" t="str">
        <f>IF(Sales[[#This Row],[Discount]]&lt;=10,"0-10%",IF(Sales[[#This Row],[Discount]]&lt;=20,"10-20%","20-30%"))</f>
        <v>0-10%</v>
      </c>
      <c r="J265">
        <v>1357.97</v>
      </c>
      <c r="K265" t="s">
        <v>262</v>
      </c>
      <c r="L265" t="s">
        <v>266</v>
      </c>
      <c r="M265">
        <f t="shared" si="28"/>
        <v>4073.91</v>
      </c>
      <c r="N265">
        <f t="shared" si="29"/>
        <v>6951.6629999999986</v>
      </c>
      <c r="O265">
        <f t="shared" si="30"/>
        <v>2877.7529999999988</v>
      </c>
      <c r="P265" s="2">
        <f t="shared" si="31"/>
        <v>0.41396612580327891</v>
      </c>
      <c r="Q265" t="str">
        <f t="shared" si="32"/>
        <v>Weekday</v>
      </c>
      <c r="R265" t="str">
        <f t="shared" si="33"/>
        <v>Sep</v>
      </c>
      <c r="S265">
        <f t="shared" si="34"/>
        <v>2024</v>
      </c>
    </row>
    <row r="266" spans="1:19" x14ac:dyDescent="0.25">
      <c r="A266">
        <v>100264</v>
      </c>
      <c r="B266" s="1">
        <v>45114</v>
      </c>
      <c r="C266" t="s">
        <v>44</v>
      </c>
      <c r="D266" t="s">
        <v>141</v>
      </c>
      <c r="E266" t="s">
        <v>259</v>
      </c>
      <c r="F266">
        <v>2</v>
      </c>
      <c r="G266">
        <v>3102.47</v>
      </c>
      <c r="H266">
        <v>0</v>
      </c>
      <c r="I266" t="str">
        <f>IF(Sales[[#This Row],[Discount]]&lt;=10,"0-10%",IF(Sales[[#This Row],[Discount]]&lt;=20,"10-20%","20-30%"))</f>
        <v>0-10%</v>
      </c>
      <c r="J266">
        <v>1455.07</v>
      </c>
      <c r="K266" t="s">
        <v>262</v>
      </c>
      <c r="L266" t="s">
        <v>264</v>
      </c>
      <c r="M266">
        <f t="shared" si="28"/>
        <v>2910.14</v>
      </c>
      <c r="N266">
        <f t="shared" si="29"/>
        <v>6204.94</v>
      </c>
      <c r="O266">
        <f t="shared" si="30"/>
        <v>3294.7999999999997</v>
      </c>
      <c r="P266" s="2">
        <f t="shared" si="31"/>
        <v>0.53099627071333488</v>
      </c>
      <c r="Q266" t="str">
        <f t="shared" si="32"/>
        <v>Weekday</v>
      </c>
      <c r="R266" t="str">
        <f t="shared" si="33"/>
        <v>Jul</v>
      </c>
      <c r="S266">
        <f t="shared" si="34"/>
        <v>2023</v>
      </c>
    </row>
    <row r="267" spans="1:19" x14ac:dyDescent="0.25">
      <c r="A267">
        <v>100265</v>
      </c>
      <c r="B267" s="1">
        <v>45109</v>
      </c>
      <c r="C267" t="s">
        <v>21</v>
      </c>
      <c r="D267" t="s">
        <v>67</v>
      </c>
      <c r="E267" t="s">
        <v>255</v>
      </c>
      <c r="F267">
        <v>2</v>
      </c>
      <c r="G267">
        <v>4459.49</v>
      </c>
      <c r="H267">
        <v>10</v>
      </c>
      <c r="I267" t="str">
        <f>IF(Sales[[#This Row],[Discount]]&lt;=10,"0-10%",IF(Sales[[#This Row],[Discount]]&lt;=20,"10-20%","20-30%"))</f>
        <v>0-10%</v>
      </c>
      <c r="J267">
        <v>2493.21</v>
      </c>
      <c r="K267" t="s">
        <v>261</v>
      </c>
      <c r="L267" t="s">
        <v>264</v>
      </c>
      <c r="M267">
        <f t="shared" si="28"/>
        <v>4986.42</v>
      </c>
      <c r="N267">
        <f t="shared" si="29"/>
        <v>8027.0819999999994</v>
      </c>
      <c r="O267">
        <f t="shared" si="30"/>
        <v>3040.6619999999994</v>
      </c>
      <c r="P267" s="2">
        <f t="shared" si="31"/>
        <v>0.37880041589210123</v>
      </c>
      <c r="Q267" t="str">
        <f t="shared" si="32"/>
        <v>Weekend</v>
      </c>
      <c r="R267" t="str">
        <f t="shared" si="33"/>
        <v>Jul</v>
      </c>
      <c r="S267">
        <f t="shared" si="34"/>
        <v>2023</v>
      </c>
    </row>
    <row r="268" spans="1:19" x14ac:dyDescent="0.25">
      <c r="A268">
        <v>100266</v>
      </c>
      <c r="B268" s="1">
        <v>45275</v>
      </c>
      <c r="C268" t="s">
        <v>13</v>
      </c>
      <c r="D268" t="s">
        <v>204</v>
      </c>
      <c r="E268" t="s">
        <v>254</v>
      </c>
      <c r="F268">
        <v>3</v>
      </c>
      <c r="G268">
        <v>1781.86</v>
      </c>
      <c r="H268">
        <v>30</v>
      </c>
      <c r="I268" t="str">
        <f>IF(Sales[[#This Row],[Discount]]&lt;=10,"0-10%",IF(Sales[[#This Row],[Discount]]&lt;=20,"10-20%","20-30%"))</f>
        <v>20-30%</v>
      </c>
      <c r="J268">
        <v>1001.13</v>
      </c>
      <c r="K268" t="s">
        <v>268</v>
      </c>
      <c r="L268" t="s">
        <v>263</v>
      </c>
      <c r="M268">
        <f t="shared" si="28"/>
        <v>3003.39</v>
      </c>
      <c r="N268">
        <f t="shared" si="29"/>
        <v>3741.9059999999995</v>
      </c>
      <c r="O268">
        <f t="shared" si="30"/>
        <v>738.51599999999962</v>
      </c>
      <c r="P268" s="2">
        <f t="shared" si="31"/>
        <v>0.19736358957173156</v>
      </c>
      <c r="Q268" t="str">
        <f t="shared" si="32"/>
        <v>Weekday</v>
      </c>
      <c r="R268" t="str">
        <f t="shared" si="33"/>
        <v>Dec</v>
      </c>
      <c r="S268">
        <f t="shared" si="34"/>
        <v>2023</v>
      </c>
    </row>
    <row r="269" spans="1:19" x14ac:dyDescent="0.25">
      <c r="A269">
        <v>100267</v>
      </c>
      <c r="B269" s="1">
        <v>45352</v>
      </c>
      <c r="C269" t="s">
        <v>49</v>
      </c>
      <c r="D269" t="s">
        <v>67</v>
      </c>
      <c r="E269" t="s">
        <v>259</v>
      </c>
      <c r="F269">
        <v>1</v>
      </c>
      <c r="G269">
        <v>3241.69</v>
      </c>
      <c r="H269">
        <v>30</v>
      </c>
      <c r="I269" t="str">
        <f>IF(Sales[[#This Row],[Discount]]&lt;=10,"0-10%",IF(Sales[[#This Row],[Discount]]&lt;=20,"10-20%","20-30%"))</f>
        <v>20-30%</v>
      </c>
      <c r="J269">
        <v>2158.3000000000002</v>
      </c>
      <c r="K269" t="s">
        <v>261</v>
      </c>
      <c r="L269" t="s">
        <v>264</v>
      </c>
      <c r="M269">
        <f t="shared" si="28"/>
        <v>2158.3000000000002</v>
      </c>
      <c r="N269">
        <f t="shared" si="29"/>
        <v>2269.183</v>
      </c>
      <c r="O269">
        <f t="shared" si="30"/>
        <v>110.88299999999981</v>
      </c>
      <c r="P269" s="2">
        <f t="shared" si="31"/>
        <v>4.8864723559095859E-2</v>
      </c>
      <c r="Q269" t="str">
        <f t="shared" si="32"/>
        <v>Weekday</v>
      </c>
      <c r="R269" t="str">
        <f t="shared" si="33"/>
        <v>Mar</v>
      </c>
      <c r="S269">
        <f t="shared" si="34"/>
        <v>2024</v>
      </c>
    </row>
    <row r="270" spans="1:19" x14ac:dyDescent="0.25">
      <c r="A270">
        <v>100268</v>
      </c>
      <c r="B270" s="1">
        <v>45472</v>
      </c>
      <c r="C270" t="s">
        <v>18</v>
      </c>
      <c r="D270" t="s">
        <v>105</v>
      </c>
      <c r="E270" t="s">
        <v>259</v>
      </c>
      <c r="F270">
        <v>2</v>
      </c>
      <c r="G270">
        <v>2262.2800000000002</v>
      </c>
      <c r="H270">
        <v>30</v>
      </c>
      <c r="I270" t="str">
        <f>IF(Sales[[#This Row],[Discount]]&lt;=10,"0-10%",IF(Sales[[#This Row],[Discount]]&lt;=20,"10-20%","20-30%"))</f>
        <v>20-30%</v>
      </c>
      <c r="J270">
        <v>1218.43</v>
      </c>
      <c r="K270" t="s">
        <v>268</v>
      </c>
      <c r="L270" t="s">
        <v>266</v>
      </c>
      <c r="M270">
        <f t="shared" si="28"/>
        <v>2436.86</v>
      </c>
      <c r="N270">
        <f t="shared" si="29"/>
        <v>3167.192</v>
      </c>
      <c r="O270">
        <f t="shared" si="30"/>
        <v>730.33199999999988</v>
      </c>
      <c r="P270" s="2">
        <f t="shared" si="31"/>
        <v>0.23059290374565225</v>
      </c>
      <c r="Q270" t="str">
        <f t="shared" si="32"/>
        <v>Weekend</v>
      </c>
      <c r="R270" t="str">
        <f t="shared" si="33"/>
        <v>Jun</v>
      </c>
      <c r="S270">
        <f t="shared" si="34"/>
        <v>2024</v>
      </c>
    </row>
    <row r="271" spans="1:19" x14ac:dyDescent="0.25">
      <c r="A271">
        <v>100269</v>
      </c>
      <c r="B271" s="1">
        <v>45342</v>
      </c>
      <c r="C271" t="s">
        <v>56</v>
      </c>
      <c r="D271" t="s">
        <v>134</v>
      </c>
      <c r="E271" t="s">
        <v>255</v>
      </c>
      <c r="F271">
        <v>3</v>
      </c>
      <c r="G271">
        <v>4411.1000000000004</v>
      </c>
      <c r="H271">
        <v>15</v>
      </c>
      <c r="I271" t="str">
        <f>IF(Sales[[#This Row],[Discount]]&lt;=10,"0-10%",IF(Sales[[#This Row],[Discount]]&lt;=20,"10-20%","20-30%"))</f>
        <v>10-20%</v>
      </c>
      <c r="J271">
        <v>2464.4</v>
      </c>
      <c r="K271" t="s">
        <v>262</v>
      </c>
      <c r="L271" t="s">
        <v>266</v>
      </c>
      <c r="M271">
        <f t="shared" si="28"/>
        <v>7393.2000000000007</v>
      </c>
      <c r="N271">
        <f t="shared" si="29"/>
        <v>11248.305</v>
      </c>
      <c r="O271">
        <f t="shared" si="30"/>
        <v>3855.1049999999996</v>
      </c>
      <c r="P271" s="2">
        <f t="shared" si="31"/>
        <v>0.34272763763073633</v>
      </c>
      <c r="Q271" t="str">
        <f t="shared" si="32"/>
        <v>Weekday</v>
      </c>
      <c r="R271" t="str">
        <f t="shared" si="33"/>
        <v>Feb</v>
      </c>
      <c r="S271">
        <f t="shared" si="34"/>
        <v>2024</v>
      </c>
    </row>
    <row r="272" spans="1:19" x14ac:dyDescent="0.25">
      <c r="A272">
        <v>100270</v>
      </c>
      <c r="B272" s="1">
        <v>44955</v>
      </c>
      <c r="C272" t="s">
        <v>28</v>
      </c>
      <c r="D272" t="s">
        <v>73</v>
      </c>
      <c r="E272" t="s">
        <v>258</v>
      </c>
      <c r="F272">
        <v>3</v>
      </c>
      <c r="G272">
        <v>629.14</v>
      </c>
      <c r="H272">
        <v>5</v>
      </c>
      <c r="I272" t="str">
        <f>IF(Sales[[#This Row],[Discount]]&lt;=10,"0-10%",IF(Sales[[#This Row],[Discount]]&lt;=20,"10-20%","20-30%"))</f>
        <v>0-10%</v>
      </c>
      <c r="J272">
        <v>253.45</v>
      </c>
      <c r="K272" t="s">
        <v>268</v>
      </c>
      <c r="L272" t="s">
        <v>266</v>
      </c>
      <c r="M272">
        <f t="shared" si="28"/>
        <v>760.34999999999991</v>
      </c>
      <c r="N272">
        <f t="shared" si="29"/>
        <v>1793.049</v>
      </c>
      <c r="O272">
        <f t="shared" si="30"/>
        <v>1032.6990000000001</v>
      </c>
      <c r="P272" s="2">
        <f t="shared" si="31"/>
        <v>0.57594577727658314</v>
      </c>
      <c r="Q272" t="str">
        <f t="shared" si="32"/>
        <v>Weekend</v>
      </c>
      <c r="R272" t="str">
        <f t="shared" si="33"/>
        <v>Jan</v>
      </c>
      <c r="S272">
        <f t="shared" si="34"/>
        <v>2023</v>
      </c>
    </row>
    <row r="273" spans="1:19" x14ac:dyDescent="0.25">
      <c r="A273">
        <v>100271</v>
      </c>
      <c r="B273" s="1">
        <v>45623</v>
      </c>
      <c r="C273" t="s">
        <v>30</v>
      </c>
      <c r="D273" t="s">
        <v>126</v>
      </c>
      <c r="E273" t="s">
        <v>258</v>
      </c>
      <c r="F273">
        <v>1</v>
      </c>
      <c r="G273">
        <v>2189.08</v>
      </c>
      <c r="H273">
        <v>0</v>
      </c>
      <c r="I273" t="str">
        <f>IF(Sales[[#This Row],[Discount]]&lt;=10,"0-10%",IF(Sales[[#This Row],[Discount]]&lt;=20,"10-20%","20-30%"))</f>
        <v>0-10%</v>
      </c>
      <c r="J273">
        <v>1190.78</v>
      </c>
      <c r="K273" t="s">
        <v>262</v>
      </c>
      <c r="L273" t="s">
        <v>265</v>
      </c>
      <c r="M273">
        <f t="shared" si="28"/>
        <v>1190.78</v>
      </c>
      <c r="N273">
        <f t="shared" si="29"/>
        <v>2189.08</v>
      </c>
      <c r="O273">
        <f t="shared" si="30"/>
        <v>998.3</v>
      </c>
      <c r="P273" s="2">
        <f t="shared" si="31"/>
        <v>0.45603632576242076</v>
      </c>
      <c r="Q273" t="str">
        <f t="shared" si="32"/>
        <v>Weekday</v>
      </c>
      <c r="R273" t="str">
        <f t="shared" si="33"/>
        <v>Nov</v>
      </c>
      <c r="S273">
        <f t="shared" si="34"/>
        <v>2024</v>
      </c>
    </row>
    <row r="274" spans="1:19" x14ac:dyDescent="0.25">
      <c r="A274">
        <v>100272</v>
      </c>
      <c r="B274" s="1">
        <v>45285</v>
      </c>
      <c r="C274" t="s">
        <v>19</v>
      </c>
      <c r="D274" t="s">
        <v>127</v>
      </c>
      <c r="E274" t="s">
        <v>254</v>
      </c>
      <c r="F274">
        <v>4</v>
      </c>
      <c r="G274">
        <v>1576.93</v>
      </c>
      <c r="H274">
        <v>0</v>
      </c>
      <c r="I274" t="str">
        <f>IF(Sales[[#This Row],[Discount]]&lt;=10,"0-10%",IF(Sales[[#This Row],[Discount]]&lt;=20,"10-20%","20-30%"))</f>
        <v>0-10%</v>
      </c>
      <c r="J274">
        <v>819.19</v>
      </c>
      <c r="K274" t="s">
        <v>262</v>
      </c>
      <c r="L274" t="s">
        <v>264</v>
      </c>
      <c r="M274">
        <f t="shared" si="28"/>
        <v>3276.76</v>
      </c>
      <c r="N274">
        <f t="shared" si="29"/>
        <v>6307.72</v>
      </c>
      <c r="O274">
        <f t="shared" si="30"/>
        <v>3030.96</v>
      </c>
      <c r="P274" s="2">
        <f t="shared" si="31"/>
        <v>0.4805159391983157</v>
      </c>
      <c r="Q274" t="str">
        <f t="shared" si="32"/>
        <v>Weekday</v>
      </c>
      <c r="R274" t="str">
        <f t="shared" si="33"/>
        <v>Dec</v>
      </c>
      <c r="S274">
        <f t="shared" si="34"/>
        <v>2023</v>
      </c>
    </row>
    <row r="275" spans="1:19" x14ac:dyDescent="0.25">
      <c r="A275">
        <v>100273</v>
      </c>
      <c r="B275" s="1">
        <v>45355</v>
      </c>
      <c r="C275" t="s">
        <v>41</v>
      </c>
      <c r="D275" t="s">
        <v>79</v>
      </c>
      <c r="E275" t="s">
        <v>257</v>
      </c>
      <c r="F275">
        <v>1</v>
      </c>
      <c r="G275">
        <v>3741.68</v>
      </c>
      <c r="H275">
        <v>0</v>
      </c>
      <c r="I275" t="str">
        <f>IF(Sales[[#This Row],[Discount]]&lt;=10,"0-10%",IF(Sales[[#This Row],[Discount]]&lt;=20,"10-20%","20-30%"))</f>
        <v>0-10%</v>
      </c>
      <c r="J275">
        <v>1500.43</v>
      </c>
      <c r="K275" t="s">
        <v>261</v>
      </c>
      <c r="L275" t="s">
        <v>263</v>
      </c>
      <c r="M275">
        <f t="shared" si="28"/>
        <v>1500.43</v>
      </c>
      <c r="N275">
        <f t="shared" si="29"/>
        <v>3741.68</v>
      </c>
      <c r="O275">
        <f t="shared" si="30"/>
        <v>2241.25</v>
      </c>
      <c r="P275" s="2">
        <f t="shared" si="31"/>
        <v>0.59899563832289238</v>
      </c>
      <c r="Q275" t="str">
        <f t="shared" si="32"/>
        <v>Weekday</v>
      </c>
      <c r="R275" t="str">
        <f t="shared" si="33"/>
        <v>Mar</v>
      </c>
      <c r="S275">
        <f t="shared" si="34"/>
        <v>2024</v>
      </c>
    </row>
    <row r="276" spans="1:19" x14ac:dyDescent="0.25">
      <c r="A276">
        <v>100274</v>
      </c>
      <c r="B276" s="1">
        <v>45219</v>
      </c>
      <c r="C276" t="s">
        <v>22</v>
      </c>
      <c r="D276" t="s">
        <v>204</v>
      </c>
      <c r="E276" t="s">
        <v>256</v>
      </c>
      <c r="F276">
        <v>4</v>
      </c>
      <c r="G276">
        <v>1650.02</v>
      </c>
      <c r="H276">
        <v>10</v>
      </c>
      <c r="I276" t="str">
        <f>IF(Sales[[#This Row],[Discount]]&lt;=10,"0-10%",IF(Sales[[#This Row],[Discount]]&lt;=20,"10-20%","20-30%"))</f>
        <v>0-10%</v>
      </c>
      <c r="J276">
        <v>806.68</v>
      </c>
      <c r="K276" t="s">
        <v>262</v>
      </c>
      <c r="L276" t="s">
        <v>264</v>
      </c>
      <c r="M276">
        <f t="shared" si="28"/>
        <v>3226.72</v>
      </c>
      <c r="N276">
        <f t="shared" si="29"/>
        <v>5940.0720000000001</v>
      </c>
      <c r="O276">
        <f t="shared" si="30"/>
        <v>2713.3520000000003</v>
      </c>
      <c r="P276" s="2">
        <f t="shared" si="31"/>
        <v>0.45678772917230637</v>
      </c>
      <c r="Q276" t="str">
        <f t="shared" si="32"/>
        <v>Weekday</v>
      </c>
      <c r="R276" t="str">
        <f t="shared" si="33"/>
        <v>Oct</v>
      </c>
      <c r="S276">
        <f t="shared" si="34"/>
        <v>2023</v>
      </c>
    </row>
    <row r="277" spans="1:19" x14ac:dyDescent="0.25">
      <c r="A277">
        <v>100275</v>
      </c>
      <c r="B277" s="1">
        <v>45511</v>
      </c>
      <c r="C277" t="s">
        <v>13</v>
      </c>
      <c r="D277" t="s">
        <v>82</v>
      </c>
      <c r="E277" t="s">
        <v>256</v>
      </c>
      <c r="F277">
        <v>4</v>
      </c>
      <c r="G277">
        <v>384.01</v>
      </c>
      <c r="H277">
        <v>15</v>
      </c>
      <c r="I277" t="str">
        <f>IF(Sales[[#This Row],[Discount]]&lt;=10,"0-10%",IF(Sales[[#This Row],[Discount]]&lt;=20,"10-20%","20-30%"))</f>
        <v>10-20%</v>
      </c>
      <c r="J277">
        <v>267.39</v>
      </c>
      <c r="K277" t="s">
        <v>262</v>
      </c>
      <c r="L277" t="s">
        <v>266</v>
      </c>
      <c r="M277">
        <f t="shared" si="28"/>
        <v>1069.56</v>
      </c>
      <c r="N277">
        <f t="shared" si="29"/>
        <v>1305.634</v>
      </c>
      <c r="O277">
        <f t="shared" si="30"/>
        <v>236.07400000000007</v>
      </c>
      <c r="P277" s="2">
        <f t="shared" si="31"/>
        <v>0.18081177420318409</v>
      </c>
      <c r="Q277" t="str">
        <f t="shared" si="32"/>
        <v>Weekday</v>
      </c>
      <c r="R277" t="str">
        <f t="shared" si="33"/>
        <v>Aug</v>
      </c>
      <c r="S277">
        <f t="shared" si="34"/>
        <v>2024</v>
      </c>
    </row>
    <row r="278" spans="1:19" x14ac:dyDescent="0.25">
      <c r="A278">
        <v>100276</v>
      </c>
      <c r="B278" s="1">
        <v>45113</v>
      </c>
      <c r="C278" t="s">
        <v>20</v>
      </c>
      <c r="D278" t="s">
        <v>205</v>
      </c>
      <c r="E278" t="s">
        <v>259</v>
      </c>
      <c r="F278">
        <v>1</v>
      </c>
      <c r="G278">
        <v>2140.66</v>
      </c>
      <c r="H278">
        <v>10</v>
      </c>
      <c r="I278" t="str">
        <f>IF(Sales[[#This Row],[Discount]]&lt;=10,"0-10%",IF(Sales[[#This Row],[Discount]]&lt;=20,"10-20%","20-30%"))</f>
        <v>0-10%</v>
      </c>
      <c r="J278">
        <v>936.18</v>
      </c>
      <c r="K278" t="s">
        <v>261</v>
      </c>
      <c r="L278" t="s">
        <v>263</v>
      </c>
      <c r="M278">
        <f t="shared" si="28"/>
        <v>936.18</v>
      </c>
      <c r="N278">
        <f t="shared" si="29"/>
        <v>1926.5939999999998</v>
      </c>
      <c r="O278">
        <f t="shared" si="30"/>
        <v>990.41399999999987</v>
      </c>
      <c r="P278" s="2">
        <f t="shared" si="31"/>
        <v>0.51407509833415865</v>
      </c>
      <c r="Q278" t="str">
        <f t="shared" si="32"/>
        <v>Weekday</v>
      </c>
      <c r="R278" t="str">
        <f t="shared" si="33"/>
        <v>Jul</v>
      </c>
      <c r="S278">
        <f t="shared" si="34"/>
        <v>2023</v>
      </c>
    </row>
    <row r="279" spans="1:19" x14ac:dyDescent="0.25">
      <c r="A279">
        <v>100277</v>
      </c>
      <c r="B279" s="1">
        <v>45366</v>
      </c>
      <c r="C279" t="s">
        <v>27</v>
      </c>
      <c r="D279" t="s">
        <v>173</v>
      </c>
      <c r="E279" t="s">
        <v>258</v>
      </c>
      <c r="F279">
        <v>1</v>
      </c>
      <c r="G279">
        <v>1517.22</v>
      </c>
      <c r="H279">
        <v>10</v>
      </c>
      <c r="I279" t="str">
        <f>IF(Sales[[#This Row],[Discount]]&lt;=10,"0-10%",IF(Sales[[#This Row],[Discount]]&lt;=20,"10-20%","20-30%"))</f>
        <v>0-10%</v>
      </c>
      <c r="J279">
        <v>874.78</v>
      </c>
      <c r="K279" t="s">
        <v>262</v>
      </c>
      <c r="L279" t="s">
        <v>265</v>
      </c>
      <c r="M279">
        <f t="shared" si="28"/>
        <v>874.78</v>
      </c>
      <c r="N279">
        <f t="shared" si="29"/>
        <v>1365.498</v>
      </c>
      <c r="O279">
        <f t="shared" si="30"/>
        <v>490.71800000000007</v>
      </c>
      <c r="P279" s="2">
        <f t="shared" si="31"/>
        <v>0.35936925575870493</v>
      </c>
      <c r="Q279" t="str">
        <f t="shared" si="32"/>
        <v>Weekday</v>
      </c>
      <c r="R279" t="str">
        <f t="shared" si="33"/>
        <v>Mar</v>
      </c>
      <c r="S279">
        <f t="shared" si="34"/>
        <v>2024</v>
      </c>
    </row>
    <row r="280" spans="1:19" x14ac:dyDescent="0.25">
      <c r="A280">
        <v>100278</v>
      </c>
      <c r="B280" s="1">
        <v>45152</v>
      </c>
      <c r="C280" t="s">
        <v>12</v>
      </c>
      <c r="D280" t="s">
        <v>204</v>
      </c>
      <c r="E280" t="s">
        <v>259</v>
      </c>
      <c r="F280">
        <v>2</v>
      </c>
      <c r="G280">
        <v>3123.75</v>
      </c>
      <c r="H280">
        <v>0</v>
      </c>
      <c r="I280" t="str">
        <f>IF(Sales[[#This Row],[Discount]]&lt;=10,"0-10%",IF(Sales[[#This Row],[Discount]]&lt;=20,"10-20%","20-30%"))</f>
        <v>0-10%</v>
      </c>
      <c r="J280">
        <v>2096.4</v>
      </c>
      <c r="K280" t="s">
        <v>261</v>
      </c>
      <c r="L280" t="s">
        <v>263</v>
      </c>
      <c r="M280">
        <f t="shared" si="28"/>
        <v>4192.8</v>
      </c>
      <c r="N280">
        <f t="shared" si="29"/>
        <v>6247.5</v>
      </c>
      <c r="O280">
        <f t="shared" si="30"/>
        <v>2054.6999999999998</v>
      </c>
      <c r="P280" s="2">
        <f t="shared" si="31"/>
        <v>0.32888355342136849</v>
      </c>
      <c r="Q280" t="str">
        <f t="shared" si="32"/>
        <v>Weekday</v>
      </c>
      <c r="R280" t="str">
        <f t="shared" si="33"/>
        <v>Aug</v>
      </c>
      <c r="S280">
        <f t="shared" si="34"/>
        <v>2023</v>
      </c>
    </row>
    <row r="281" spans="1:19" x14ac:dyDescent="0.25">
      <c r="A281">
        <v>100279</v>
      </c>
      <c r="B281" s="1">
        <v>45586</v>
      </c>
      <c r="C281" t="s">
        <v>11</v>
      </c>
      <c r="D281" t="s">
        <v>206</v>
      </c>
      <c r="E281" t="s">
        <v>256</v>
      </c>
      <c r="F281">
        <v>3</v>
      </c>
      <c r="G281">
        <v>4958.49</v>
      </c>
      <c r="H281">
        <v>25</v>
      </c>
      <c r="I281" t="str">
        <f>IF(Sales[[#This Row],[Discount]]&lt;=10,"0-10%",IF(Sales[[#This Row],[Discount]]&lt;=20,"10-20%","20-30%"))</f>
        <v>20-30%</v>
      </c>
      <c r="J281">
        <v>2328.02</v>
      </c>
      <c r="K281" t="s">
        <v>261</v>
      </c>
      <c r="L281" t="s">
        <v>265</v>
      </c>
      <c r="M281">
        <f t="shared" si="28"/>
        <v>6984.0599999999995</v>
      </c>
      <c r="N281">
        <f t="shared" si="29"/>
        <v>11156.602499999999</v>
      </c>
      <c r="O281">
        <f t="shared" si="30"/>
        <v>4172.5424999999996</v>
      </c>
      <c r="P281" s="2">
        <f t="shared" si="31"/>
        <v>0.37399759469784821</v>
      </c>
      <c r="Q281" t="str">
        <f t="shared" si="32"/>
        <v>Weekday</v>
      </c>
      <c r="R281" t="str">
        <f t="shared" si="33"/>
        <v>Oct</v>
      </c>
      <c r="S281">
        <f t="shared" si="34"/>
        <v>2024</v>
      </c>
    </row>
    <row r="282" spans="1:19" x14ac:dyDescent="0.25">
      <c r="A282">
        <v>100280</v>
      </c>
      <c r="B282" s="1">
        <v>45292</v>
      </c>
      <c r="C282" t="s">
        <v>31</v>
      </c>
      <c r="D282" t="s">
        <v>184</v>
      </c>
      <c r="E282" t="s">
        <v>255</v>
      </c>
      <c r="F282">
        <v>3</v>
      </c>
      <c r="G282">
        <v>1383.68</v>
      </c>
      <c r="H282">
        <v>10</v>
      </c>
      <c r="I282" t="str">
        <f>IF(Sales[[#This Row],[Discount]]&lt;=10,"0-10%",IF(Sales[[#This Row],[Discount]]&lt;=20,"10-20%","20-30%"))</f>
        <v>0-10%</v>
      </c>
      <c r="J282">
        <v>898.28</v>
      </c>
      <c r="K282" t="s">
        <v>268</v>
      </c>
      <c r="L282" t="s">
        <v>265</v>
      </c>
      <c r="M282">
        <f t="shared" si="28"/>
        <v>2694.84</v>
      </c>
      <c r="N282">
        <f t="shared" si="29"/>
        <v>3735.9360000000001</v>
      </c>
      <c r="O282">
        <f t="shared" si="30"/>
        <v>1041.096</v>
      </c>
      <c r="P282" s="2">
        <f t="shared" si="31"/>
        <v>0.27867072669339088</v>
      </c>
      <c r="Q282" t="str">
        <f t="shared" si="32"/>
        <v>Weekday</v>
      </c>
      <c r="R282" t="str">
        <f t="shared" si="33"/>
        <v>Jan</v>
      </c>
      <c r="S282">
        <f t="shared" si="34"/>
        <v>2024</v>
      </c>
    </row>
    <row r="283" spans="1:19" x14ac:dyDescent="0.25">
      <c r="A283">
        <v>100281</v>
      </c>
      <c r="B283" s="1">
        <v>45432</v>
      </c>
      <c r="C283" t="s">
        <v>53</v>
      </c>
      <c r="D283" t="s">
        <v>207</v>
      </c>
      <c r="E283" t="s">
        <v>255</v>
      </c>
      <c r="F283">
        <v>3</v>
      </c>
      <c r="G283">
        <v>1129.68</v>
      </c>
      <c r="H283">
        <v>5</v>
      </c>
      <c r="I283" t="str">
        <f>IF(Sales[[#This Row],[Discount]]&lt;=10,"0-10%",IF(Sales[[#This Row],[Discount]]&lt;=20,"10-20%","20-30%"))</f>
        <v>0-10%</v>
      </c>
      <c r="J283">
        <v>526.6</v>
      </c>
      <c r="K283" t="s">
        <v>261</v>
      </c>
      <c r="L283" t="s">
        <v>264</v>
      </c>
      <c r="M283">
        <f t="shared" si="28"/>
        <v>1579.8000000000002</v>
      </c>
      <c r="N283">
        <f t="shared" si="29"/>
        <v>3219.5879999999997</v>
      </c>
      <c r="O283">
        <f t="shared" si="30"/>
        <v>1639.7879999999996</v>
      </c>
      <c r="P283" s="2">
        <f t="shared" si="31"/>
        <v>0.50931609883003659</v>
      </c>
      <c r="Q283" t="str">
        <f t="shared" si="32"/>
        <v>Weekday</v>
      </c>
      <c r="R283" t="str">
        <f t="shared" si="33"/>
        <v>May</v>
      </c>
      <c r="S283">
        <f t="shared" si="34"/>
        <v>2024</v>
      </c>
    </row>
    <row r="284" spans="1:19" x14ac:dyDescent="0.25">
      <c r="A284">
        <v>100282</v>
      </c>
      <c r="B284" s="1">
        <v>44973</v>
      </c>
      <c r="C284" t="s">
        <v>56</v>
      </c>
      <c r="D284" t="s">
        <v>208</v>
      </c>
      <c r="E284" t="s">
        <v>260</v>
      </c>
      <c r="F284">
        <v>4</v>
      </c>
      <c r="G284">
        <v>1945.59</v>
      </c>
      <c r="H284">
        <v>5</v>
      </c>
      <c r="I284" t="str">
        <f>IF(Sales[[#This Row],[Discount]]&lt;=10,"0-10%",IF(Sales[[#This Row],[Discount]]&lt;=20,"10-20%","20-30%"))</f>
        <v>0-10%</v>
      </c>
      <c r="J284">
        <v>812</v>
      </c>
      <c r="K284" t="s">
        <v>262</v>
      </c>
      <c r="L284" t="s">
        <v>264</v>
      </c>
      <c r="M284">
        <f t="shared" si="28"/>
        <v>3248</v>
      </c>
      <c r="N284">
        <f t="shared" si="29"/>
        <v>7393.2419999999993</v>
      </c>
      <c r="O284">
        <f t="shared" si="30"/>
        <v>4145.2419999999993</v>
      </c>
      <c r="P284" s="2">
        <f t="shared" si="31"/>
        <v>0.56067987494525406</v>
      </c>
      <c r="Q284" t="str">
        <f t="shared" si="32"/>
        <v>Weekday</v>
      </c>
      <c r="R284" t="str">
        <f t="shared" si="33"/>
        <v>Feb</v>
      </c>
      <c r="S284">
        <f t="shared" si="34"/>
        <v>2023</v>
      </c>
    </row>
    <row r="285" spans="1:19" x14ac:dyDescent="0.25">
      <c r="A285">
        <v>100283</v>
      </c>
      <c r="B285" s="1">
        <v>45499</v>
      </c>
      <c r="C285" t="s">
        <v>50</v>
      </c>
      <c r="D285" t="s">
        <v>209</v>
      </c>
      <c r="E285" t="s">
        <v>257</v>
      </c>
      <c r="F285">
        <v>1</v>
      </c>
      <c r="G285">
        <v>4660.4399999999996</v>
      </c>
      <c r="H285">
        <v>0</v>
      </c>
      <c r="I285" t="str">
        <f>IF(Sales[[#This Row],[Discount]]&lt;=10,"0-10%",IF(Sales[[#This Row],[Discount]]&lt;=20,"10-20%","20-30%"))</f>
        <v>0-10%</v>
      </c>
      <c r="J285">
        <v>3255.19</v>
      </c>
      <c r="K285" t="s">
        <v>268</v>
      </c>
      <c r="L285" t="s">
        <v>264</v>
      </c>
      <c r="M285">
        <f t="shared" si="28"/>
        <v>3255.19</v>
      </c>
      <c r="N285">
        <f t="shared" si="29"/>
        <v>4660.4399999999996</v>
      </c>
      <c r="O285">
        <f t="shared" si="30"/>
        <v>1405.2499999999995</v>
      </c>
      <c r="P285" s="2">
        <f t="shared" si="31"/>
        <v>0.30152732360034668</v>
      </c>
      <c r="Q285" t="str">
        <f t="shared" si="32"/>
        <v>Weekday</v>
      </c>
      <c r="R285" t="str">
        <f t="shared" si="33"/>
        <v>Jul</v>
      </c>
      <c r="S285">
        <f t="shared" si="34"/>
        <v>2024</v>
      </c>
    </row>
    <row r="286" spans="1:19" x14ac:dyDescent="0.25">
      <c r="A286">
        <v>100284</v>
      </c>
      <c r="B286" s="1">
        <v>45071</v>
      </c>
      <c r="C286" t="s">
        <v>43</v>
      </c>
      <c r="D286" t="s">
        <v>207</v>
      </c>
      <c r="E286" t="s">
        <v>254</v>
      </c>
      <c r="F286">
        <v>2</v>
      </c>
      <c r="G286">
        <v>2721.67</v>
      </c>
      <c r="H286">
        <v>20</v>
      </c>
      <c r="I286" t="str">
        <f>IF(Sales[[#This Row],[Discount]]&lt;=10,"0-10%",IF(Sales[[#This Row],[Discount]]&lt;=20,"10-20%","20-30%"))</f>
        <v>10-20%</v>
      </c>
      <c r="J286">
        <v>1489.72</v>
      </c>
      <c r="K286" t="s">
        <v>262</v>
      </c>
      <c r="L286" t="s">
        <v>265</v>
      </c>
      <c r="M286">
        <f t="shared" si="28"/>
        <v>2979.44</v>
      </c>
      <c r="N286">
        <f t="shared" si="29"/>
        <v>4354.6720000000005</v>
      </c>
      <c r="O286">
        <f t="shared" si="30"/>
        <v>1375.2320000000004</v>
      </c>
      <c r="P286" s="2">
        <f t="shared" si="31"/>
        <v>0.31580610434034995</v>
      </c>
      <c r="Q286" t="str">
        <f t="shared" si="32"/>
        <v>Weekday</v>
      </c>
      <c r="R286" t="str">
        <f t="shared" si="33"/>
        <v>May</v>
      </c>
      <c r="S286">
        <f t="shared" si="34"/>
        <v>2023</v>
      </c>
    </row>
    <row r="287" spans="1:19" x14ac:dyDescent="0.25">
      <c r="A287">
        <v>100285</v>
      </c>
      <c r="B287" s="1">
        <v>45015</v>
      </c>
      <c r="C287" t="s">
        <v>30</v>
      </c>
      <c r="D287" t="s">
        <v>210</v>
      </c>
      <c r="E287" t="s">
        <v>255</v>
      </c>
      <c r="F287">
        <v>4</v>
      </c>
      <c r="G287">
        <v>2477.89</v>
      </c>
      <c r="H287">
        <v>0</v>
      </c>
      <c r="I287" t="str">
        <f>IF(Sales[[#This Row],[Discount]]&lt;=10,"0-10%",IF(Sales[[#This Row],[Discount]]&lt;=20,"10-20%","20-30%"))</f>
        <v>0-10%</v>
      </c>
      <c r="J287">
        <v>1454.23</v>
      </c>
      <c r="K287" t="s">
        <v>268</v>
      </c>
      <c r="L287" t="s">
        <v>265</v>
      </c>
      <c r="M287">
        <f t="shared" si="28"/>
        <v>5816.92</v>
      </c>
      <c r="N287">
        <f t="shared" si="29"/>
        <v>9911.56</v>
      </c>
      <c r="O287">
        <f t="shared" si="30"/>
        <v>4094.6399999999994</v>
      </c>
      <c r="P287" s="2">
        <f t="shared" si="31"/>
        <v>0.41311761216196036</v>
      </c>
      <c r="Q287" t="str">
        <f t="shared" si="32"/>
        <v>Weekday</v>
      </c>
      <c r="R287" t="str">
        <f t="shared" si="33"/>
        <v>Mar</v>
      </c>
      <c r="S287">
        <f t="shared" si="34"/>
        <v>2023</v>
      </c>
    </row>
    <row r="288" spans="1:19" x14ac:dyDescent="0.25">
      <c r="A288">
        <v>100286</v>
      </c>
      <c r="B288" s="1">
        <v>45543</v>
      </c>
      <c r="C288" t="s">
        <v>51</v>
      </c>
      <c r="D288" t="s">
        <v>92</v>
      </c>
      <c r="E288" t="s">
        <v>255</v>
      </c>
      <c r="F288">
        <v>4</v>
      </c>
      <c r="G288">
        <v>3026.41</v>
      </c>
      <c r="H288">
        <v>0</v>
      </c>
      <c r="I288" t="str">
        <f>IF(Sales[[#This Row],[Discount]]&lt;=10,"0-10%",IF(Sales[[#This Row],[Discount]]&lt;=20,"10-20%","20-30%"))</f>
        <v>0-10%</v>
      </c>
      <c r="J288">
        <v>1293.6300000000001</v>
      </c>
      <c r="K288" t="s">
        <v>262</v>
      </c>
      <c r="L288" t="s">
        <v>265</v>
      </c>
      <c r="M288">
        <f t="shared" si="28"/>
        <v>5174.5200000000004</v>
      </c>
      <c r="N288">
        <f t="shared" si="29"/>
        <v>12105.64</v>
      </c>
      <c r="O288">
        <f t="shared" si="30"/>
        <v>6931.119999999999</v>
      </c>
      <c r="P288" s="2">
        <f t="shared" si="31"/>
        <v>0.57255295878615253</v>
      </c>
      <c r="Q288" t="str">
        <f t="shared" si="32"/>
        <v>Weekend</v>
      </c>
      <c r="R288" t="str">
        <f t="shared" si="33"/>
        <v>Sep</v>
      </c>
      <c r="S288">
        <f t="shared" si="34"/>
        <v>2024</v>
      </c>
    </row>
    <row r="289" spans="1:19" x14ac:dyDescent="0.25">
      <c r="A289">
        <v>100287</v>
      </c>
      <c r="B289" s="1">
        <v>45121</v>
      </c>
      <c r="C289" t="s">
        <v>20</v>
      </c>
      <c r="D289" t="s">
        <v>204</v>
      </c>
      <c r="E289" t="s">
        <v>256</v>
      </c>
      <c r="F289">
        <v>3</v>
      </c>
      <c r="G289">
        <v>1582.91</v>
      </c>
      <c r="H289">
        <v>25</v>
      </c>
      <c r="I289" t="str">
        <f>IF(Sales[[#This Row],[Discount]]&lt;=10,"0-10%",IF(Sales[[#This Row],[Discount]]&lt;=20,"10-20%","20-30%"))</f>
        <v>20-30%</v>
      </c>
      <c r="J289">
        <v>859.52</v>
      </c>
      <c r="K289" t="s">
        <v>262</v>
      </c>
      <c r="L289" t="s">
        <v>263</v>
      </c>
      <c r="M289">
        <f t="shared" si="28"/>
        <v>2578.56</v>
      </c>
      <c r="N289">
        <f t="shared" si="29"/>
        <v>3561.5475000000006</v>
      </c>
      <c r="O289">
        <f t="shared" si="30"/>
        <v>982.98750000000064</v>
      </c>
      <c r="P289" s="2">
        <f t="shared" si="31"/>
        <v>0.276000109502962</v>
      </c>
      <c r="Q289" t="str">
        <f t="shared" si="32"/>
        <v>Weekday</v>
      </c>
      <c r="R289" t="str">
        <f t="shared" si="33"/>
        <v>Jul</v>
      </c>
      <c r="S289">
        <f t="shared" si="34"/>
        <v>2023</v>
      </c>
    </row>
    <row r="290" spans="1:19" x14ac:dyDescent="0.25">
      <c r="A290">
        <v>100288</v>
      </c>
      <c r="B290" s="1">
        <v>44966</v>
      </c>
      <c r="C290" t="s">
        <v>45</v>
      </c>
      <c r="D290" t="s">
        <v>159</v>
      </c>
      <c r="E290" t="s">
        <v>254</v>
      </c>
      <c r="F290">
        <v>2</v>
      </c>
      <c r="G290">
        <v>4352</v>
      </c>
      <c r="H290">
        <v>20</v>
      </c>
      <c r="I290" t="str">
        <f>IF(Sales[[#This Row],[Discount]]&lt;=10,"0-10%",IF(Sales[[#This Row],[Discount]]&lt;=20,"10-20%","20-30%"))</f>
        <v>10-20%</v>
      </c>
      <c r="J290">
        <v>2797.7</v>
      </c>
      <c r="K290" t="s">
        <v>268</v>
      </c>
      <c r="L290" t="s">
        <v>264</v>
      </c>
      <c r="M290">
        <f t="shared" si="28"/>
        <v>5595.4</v>
      </c>
      <c r="N290">
        <f t="shared" si="29"/>
        <v>6963.2000000000007</v>
      </c>
      <c r="O290">
        <f t="shared" si="30"/>
        <v>1367.8000000000011</v>
      </c>
      <c r="P290" s="2">
        <f t="shared" si="31"/>
        <v>0.19643267463235309</v>
      </c>
      <c r="Q290" t="str">
        <f t="shared" si="32"/>
        <v>Weekday</v>
      </c>
      <c r="R290" t="str">
        <f t="shared" si="33"/>
        <v>Feb</v>
      </c>
      <c r="S290">
        <f t="shared" si="34"/>
        <v>2023</v>
      </c>
    </row>
    <row r="291" spans="1:19" x14ac:dyDescent="0.25">
      <c r="A291">
        <v>100289</v>
      </c>
      <c r="B291" s="1">
        <v>45050</v>
      </c>
      <c r="C291" t="s">
        <v>21</v>
      </c>
      <c r="D291" t="s">
        <v>165</v>
      </c>
      <c r="E291" t="s">
        <v>260</v>
      </c>
      <c r="F291">
        <v>1</v>
      </c>
      <c r="G291">
        <v>3755.5</v>
      </c>
      <c r="H291">
        <v>25</v>
      </c>
      <c r="I291" t="str">
        <f>IF(Sales[[#This Row],[Discount]]&lt;=10,"0-10%",IF(Sales[[#This Row],[Discount]]&lt;=20,"10-20%","20-30%"))</f>
        <v>20-30%</v>
      </c>
      <c r="J291">
        <v>1819.23</v>
      </c>
      <c r="K291" t="s">
        <v>268</v>
      </c>
      <c r="L291" t="s">
        <v>266</v>
      </c>
      <c r="M291">
        <f t="shared" si="28"/>
        <v>1819.23</v>
      </c>
      <c r="N291">
        <f t="shared" si="29"/>
        <v>2816.625</v>
      </c>
      <c r="O291">
        <f t="shared" si="30"/>
        <v>997.39499999999998</v>
      </c>
      <c r="P291" s="2">
        <f t="shared" si="31"/>
        <v>0.35410997204100653</v>
      </c>
      <c r="Q291" t="str">
        <f t="shared" si="32"/>
        <v>Weekday</v>
      </c>
      <c r="R291" t="str">
        <f t="shared" si="33"/>
        <v>May</v>
      </c>
      <c r="S291">
        <f t="shared" si="34"/>
        <v>2023</v>
      </c>
    </row>
    <row r="292" spans="1:19" x14ac:dyDescent="0.25">
      <c r="A292">
        <v>100290</v>
      </c>
      <c r="B292" s="1">
        <v>45380</v>
      </c>
      <c r="C292" t="s">
        <v>36</v>
      </c>
      <c r="D292" t="s">
        <v>205</v>
      </c>
      <c r="E292" t="s">
        <v>260</v>
      </c>
      <c r="F292">
        <v>4</v>
      </c>
      <c r="G292">
        <v>3569.86</v>
      </c>
      <c r="H292">
        <v>0</v>
      </c>
      <c r="I292" t="str">
        <f>IF(Sales[[#This Row],[Discount]]&lt;=10,"0-10%",IF(Sales[[#This Row],[Discount]]&lt;=20,"10-20%","20-30%"))</f>
        <v>0-10%</v>
      </c>
      <c r="J292">
        <v>1480.19</v>
      </c>
      <c r="K292" t="s">
        <v>261</v>
      </c>
      <c r="L292" t="s">
        <v>265</v>
      </c>
      <c r="M292">
        <f t="shared" si="28"/>
        <v>5920.76</v>
      </c>
      <c r="N292">
        <f t="shared" si="29"/>
        <v>14279.44</v>
      </c>
      <c r="O292">
        <f t="shared" si="30"/>
        <v>8358.68</v>
      </c>
      <c r="P292" s="2">
        <f t="shared" si="31"/>
        <v>0.58536469217280229</v>
      </c>
      <c r="Q292" t="str">
        <f t="shared" si="32"/>
        <v>Weekday</v>
      </c>
      <c r="R292" t="str">
        <f t="shared" si="33"/>
        <v>Mar</v>
      </c>
      <c r="S292">
        <f t="shared" si="34"/>
        <v>2024</v>
      </c>
    </row>
    <row r="293" spans="1:19" x14ac:dyDescent="0.25">
      <c r="A293">
        <v>100291</v>
      </c>
      <c r="B293" s="1">
        <v>45519</v>
      </c>
      <c r="C293" t="s">
        <v>49</v>
      </c>
      <c r="D293" t="s">
        <v>131</v>
      </c>
      <c r="E293" t="s">
        <v>254</v>
      </c>
      <c r="F293">
        <v>4</v>
      </c>
      <c r="G293">
        <v>814.5</v>
      </c>
      <c r="H293">
        <v>5</v>
      </c>
      <c r="I293" t="str">
        <f>IF(Sales[[#This Row],[Discount]]&lt;=10,"0-10%",IF(Sales[[#This Row],[Discount]]&lt;=20,"10-20%","20-30%"))</f>
        <v>0-10%</v>
      </c>
      <c r="J293">
        <v>544.37</v>
      </c>
      <c r="K293" t="s">
        <v>268</v>
      </c>
      <c r="L293" t="s">
        <v>263</v>
      </c>
      <c r="M293">
        <f t="shared" si="28"/>
        <v>2177.48</v>
      </c>
      <c r="N293">
        <f t="shared" si="29"/>
        <v>3095.1</v>
      </c>
      <c r="O293">
        <f t="shared" si="30"/>
        <v>917.61999999999989</v>
      </c>
      <c r="P293" s="2">
        <f t="shared" si="31"/>
        <v>0.29647507350327934</v>
      </c>
      <c r="Q293" t="str">
        <f t="shared" si="32"/>
        <v>Weekday</v>
      </c>
      <c r="R293" t="str">
        <f t="shared" si="33"/>
        <v>Aug</v>
      </c>
      <c r="S293">
        <f t="shared" si="34"/>
        <v>2024</v>
      </c>
    </row>
    <row r="294" spans="1:19" x14ac:dyDescent="0.25">
      <c r="A294">
        <v>100292</v>
      </c>
      <c r="B294" s="1">
        <v>45041</v>
      </c>
      <c r="C294" t="s">
        <v>56</v>
      </c>
      <c r="D294" t="s">
        <v>89</v>
      </c>
      <c r="E294" t="s">
        <v>256</v>
      </c>
      <c r="F294">
        <v>4</v>
      </c>
      <c r="G294">
        <v>4449.66</v>
      </c>
      <c r="H294">
        <v>30</v>
      </c>
      <c r="I294" t="str">
        <f>IF(Sales[[#This Row],[Discount]]&lt;=10,"0-10%",IF(Sales[[#This Row],[Discount]]&lt;=20,"10-20%","20-30%"))</f>
        <v>20-30%</v>
      </c>
      <c r="J294">
        <v>2468.7800000000002</v>
      </c>
      <c r="K294" t="s">
        <v>261</v>
      </c>
      <c r="L294" t="s">
        <v>266</v>
      </c>
      <c r="M294">
        <f t="shared" si="28"/>
        <v>9875.1200000000008</v>
      </c>
      <c r="N294">
        <f t="shared" si="29"/>
        <v>12459.047999999999</v>
      </c>
      <c r="O294">
        <f t="shared" si="30"/>
        <v>2583.9279999999981</v>
      </c>
      <c r="P294" s="2">
        <f t="shared" si="31"/>
        <v>0.20739369492757379</v>
      </c>
      <c r="Q294" t="str">
        <f t="shared" si="32"/>
        <v>Weekday</v>
      </c>
      <c r="R294" t="str">
        <f t="shared" si="33"/>
        <v>Apr</v>
      </c>
      <c r="S294">
        <f t="shared" si="34"/>
        <v>2023</v>
      </c>
    </row>
    <row r="295" spans="1:19" x14ac:dyDescent="0.25">
      <c r="A295">
        <v>100293</v>
      </c>
      <c r="B295" s="1">
        <v>45215</v>
      </c>
      <c r="C295" t="s">
        <v>30</v>
      </c>
      <c r="D295" t="s">
        <v>211</v>
      </c>
      <c r="E295" t="s">
        <v>255</v>
      </c>
      <c r="F295">
        <v>3</v>
      </c>
      <c r="G295">
        <v>1934.7</v>
      </c>
      <c r="H295">
        <v>0</v>
      </c>
      <c r="I295" t="str">
        <f>IF(Sales[[#This Row],[Discount]]&lt;=10,"0-10%",IF(Sales[[#This Row],[Discount]]&lt;=20,"10-20%","20-30%"))</f>
        <v>0-10%</v>
      </c>
      <c r="J295">
        <v>1167.4100000000001</v>
      </c>
      <c r="K295" t="s">
        <v>268</v>
      </c>
      <c r="L295" t="s">
        <v>265</v>
      </c>
      <c r="M295">
        <f t="shared" si="28"/>
        <v>3502.2300000000005</v>
      </c>
      <c r="N295">
        <f t="shared" si="29"/>
        <v>5804.1</v>
      </c>
      <c r="O295">
        <f t="shared" si="30"/>
        <v>2301.87</v>
      </c>
      <c r="P295" s="2">
        <f t="shared" si="31"/>
        <v>0.39659378715046256</v>
      </c>
      <c r="Q295" t="str">
        <f t="shared" si="32"/>
        <v>Weekday</v>
      </c>
      <c r="R295" t="str">
        <f t="shared" si="33"/>
        <v>Oct</v>
      </c>
      <c r="S295">
        <f t="shared" si="34"/>
        <v>2023</v>
      </c>
    </row>
    <row r="296" spans="1:19" x14ac:dyDescent="0.25">
      <c r="A296">
        <v>100294</v>
      </c>
      <c r="B296" s="1">
        <v>45279</v>
      </c>
      <c r="C296" t="s">
        <v>35</v>
      </c>
      <c r="D296" t="s">
        <v>196</v>
      </c>
      <c r="E296" t="s">
        <v>258</v>
      </c>
      <c r="F296">
        <v>4</v>
      </c>
      <c r="G296">
        <v>4047.9</v>
      </c>
      <c r="H296">
        <v>25</v>
      </c>
      <c r="I296" t="str">
        <f>IF(Sales[[#This Row],[Discount]]&lt;=10,"0-10%",IF(Sales[[#This Row],[Discount]]&lt;=20,"10-20%","20-30%"))</f>
        <v>20-30%</v>
      </c>
      <c r="J296">
        <v>2418.7600000000002</v>
      </c>
      <c r="K296" t="s">
        <v>268</v>
      </c>
      <c r="L296" t="s">
        <v>266</v>
      </c>
      <c r="M296">
        <f t="shared" si="28"/>
        <v>9675.0400000000009</v>
      </c>
      <c r="N296">
        <f t="shared" si="29"/>
        <v>12143.7</v>
      </c>
      <c r="O296">
        <f t="shared" si="30"/>
        <v>2468.66</v>
      </c>
      <c r="P296" s="2">
        <f t="shared" si="31"/>
        <v>0.20328730123438488</v>
      </c>
      <c r="Q296" t="str">
        <f t="shared" si="32"/>
        <v>Weekday</v>
      </c>
      <c r="R296" t="str">
        <f t="shared" si="33"/>
        <v>Dec</v>
      </c>
      <c r="S296">
        <f t="shared" si="34"/>
        <v>2023</v>
      </c>
    </row>
    <row r="297" spans="1:19" x14ac:dyDescent="0.25">
      <c r="A297">
        <v>100295</v>
      </c>
      <c r="B297" s="1">
        <v>45483</v>
      </c>
      <c r="C297" t="s">
        <v>37</v>
      </c>
      <c r="D297" t="s">
        <v>65</v>
      </c>
      <c r="E297" t="s">
        <v>254</v>
      </c>
      <c r="F297">
        <v>3</v>
      </c>
      <c r="G297">
        <v>1053.8800000000001</v>
      </c>
      <c r="H297">
        <v>25</v>
      </c>
      <c r="I297" t="str">
        <f>IF(Sales[[#This Row],[Discount]]&lt;=10,"0-10%",IF(Sales[[#This Row],[Discount]]&lt;=20,"10-20%","20-30%"))</f>
        <v>20-30%</v>
      </c>
      <c r="J297">
        <v>527.15</v>
      </c>
      <c r="K297" t="s">
        <v>261</v>
      </c>
      <c r="L297" t="s">
        <v>265</v>
      </c>
      <c r="M297">
        <f t="shared" si="28"/>
        <v>1581.4499999999998</v>
      </c>
      <c r="N297">
        <f t="shared" si="29"/>
        <v>2371.2300000000005</v>
      </c>
      <c r="O297">
        <f t="shared" si="30"/>
        <v>789.78000000000065</v>
      </c>
      <c r="P297" s="2">
        <f t="shared" si="31"/>
        <v>0.33306764843562225</v>
      </c>
      <c r="Q297" t="str">
        <f t="shared" si="32"/>
        <v>Weekday</v>
      </c>
      <c r="R297" t="str">
        <f t="shared" si="33"/>
        <v>Jul</v>
      </c>
      <c r="S297">
        <f t="shared" si="34"/>
        <v>2024</v>
      </c>
    </row>
    <row r="298" spans="1:19" x14ac:dyDescent="0.25">
      <c r="A298">
        <v>100296</v>
      </c>
      <c r="B298" s="1">
        <v>45348</v>
      </c>
      <c r="C298" t="s">
        <v>19</v>
      </c>
      <c r="D298" t="s">
        <v>66</v>
      </c>
      <c r="E298" t="s">
        <v>259</v>
      </c>
      <c r="F298">
        <v>1</v>
      </c>
      <c r="G298">
        <v>3496.66</v>
      </c>
      <c r="H298">
        <v>5</v>
      </c>
      <c r="I298" t="str">
        <f>IF(Sales[[#This Row],[Discount]]&lt;=10,"0-10%",IF(Sales[[#This Row],[Discount]]&lt;=20,"10-20%","20-30%"))</f>
        <v>0-10%</v>
      </c>
      <c r="J298">
        <v>2047.59</v>
      </c>
      <c r="K298" t="s">
        <v>261</v>
      </c>
      <c r="L298" t="s">
        <v>265</v>
      </c>
      <c r="M298">
        <f t="shared" si="28"/>
        <v>2047.59</v>
      </c>
      <c r="N298">
        <f t="shared" si="29"/>
        <v>3321.8269999999998</v>
      </c>
      <c r="O298">
        <f t="shared" si="30"/>
        <v>1274.2369999999999</v>
      </c>
      <c r="P298" s="2">
        <f t="shared" si="31"/>
        <v>0.38359523238266169</v>
      </c>
      <c r="Q298" t="str">
        <f t="shared" si="32"/>
        <v>Weekday</v>
      </c>
      <c r="R298" t="str">
        <f t="shared" si="33"/>
        <v>Feb</v>
      </c>
      <c r="S298">
        <f t="shared" si="34"/>
        <v>2024</v>
      </c>
    </row>
    <row r="299" spans="1:19" x14ac:dyDescent="0.25">
      <c r="A299">
        <v>100297</v>
      </c>
      <c r="B299" s="1">
        <v>44957</v>
      </c>
      <c r="C299" t="s">
        <v>12</v>
      </c>
      <c r="D299" t="s">
        <v>212</v>
      </c>
      <c r="E299" t="s">
        <v>260</v>
      </c>
      <c r="F299">
        <v>3</v>
      </c>
      <c r="G299">
        <v>4443.6899999999996</v>
      </c>
      <c r="H299">
        <v>25</v>
      </c>
      <c r="I299" t="str">
        <f>IF(Sales[[#This Row],[Discount]]&lt;=10,"0-10%",IF(Sales[[#This Row],[Discount]]&lt;=20,"10-20%","20-30%"))</f>
        <v>20-30%</v>
      </c>
      <c r="J299">
        <v>3059.01</v>
      </c>
      <c r="K299" t="s">
        <v>262</v>
      </c>
      <c r="L299" t="s">
        <v>264</v>
      </c>
      <c r="M299">
        <f t="shared" si="28"/>
        <v>9177.0300000000007</v>
      </c>
      <c r="N299">
        <f t="shared" si="29"/>
        <v>9998.3024999999998</v>
      </c>
      <c r="O299">
        <f t="shared" si="30"/>
        <v>821.27249999999913</v>
      </c>
      <c r="P299" s="2">
        <f t="shared" si="31"/>
        <v>8.2141193467591037E-2</v>
      </c>
      <c r="Q299" t="str">
        <f t="shared" si="32"/>
        <v>Weekday</v>
      </c>
      <c r="R299" t="str">
        <f t="shared" si="33"/>
        <v>Jan</v>
      </c>
      <c r="S299">
        <f t="shared" si="34"/>
        <v>2023</v>
      </c>
    </row>
    <row r="300" spans="1:19" x14ac:dyDescent="0.25">
      <c r="A300">
        <v>100298</v>
      </c>
      <c r="B300" s="1">
        <v>45596</v>
      </c>
      <c r="C300" t="s">
        <v>23</v>
      </c>
      <c r="D300" t="s">
        <v>96</v>
      </c>
      <c r="E300" t="s">
        <v>259</v>
      </c>
      <c r="F300">
        <v>2</v>
      </c>
      <c r="G300">
        <v>905.69</v>
      </c>
      <c r="H300">
        <v>25</v>
      </c>
      <c r="I300" t="str">
        <f>IF(Sales[[#This Row],[Discount]]&lt;=10,"0-10%",IF(Sales[[#This Row],[Discount]]&lt;=20,"10-20%","20-30%"))</f>
        <v>20-30%</v>
      </c>
      <c r="J300">
        <v>453.33</v>
      </c>
      <c r="K300" t="s">
        <v>261</v>
      </c>
      <c r="L300" t="s">
        <v>266</v>
      </c>
      <c r="M300">
        <f t="shared" si="28"/>
        <v>906.66</v>
      </c>
      <c r="N300">
        <f t="shared" si="29"/>
        <v>1358.5350000000001</v>
      </c>
      <c r="O300">
        <f t="shared" si="30"/>
        <v>451.87500000000011</v>
      </c>
      <c r="P300" s="2">
        <f t="shared" si="31"/>
        <v>0.33261932890945034</v>
      </c>
      <c r="Q300" t="str">
        <f t="shared" si="32"/>
        <v>Weekday</v>
      </c>
      <c r="R300" t="str">
        <f t="shared" si="33"/>
        <v>Oct</v>
      </c>
      <c r="S300">
        <f t="shared" si="34"/>
        <v>2024</v>
      </c>
    </row>
    <row r="301" spans="1:19" x14ac:dyDescent="0.25">
      <c r="A301">
        <v>100299</v>
      </c>
      <c r="B301" s="1">
        <v>45515</v>
      </c>
      <c r="C301" t="s">
        <v>50</v>
      </c>
      <c r="D301" t="s">
        <v>129</v>
      </c>
      <c r="E301" t="s">
        <v>259</v>
      </c>
      <c r="F301">
        <v>3</v>
      </c>
      <c r="G301">
        <v>305.26</v>
      </c>
      <c r="H301">
        <v>30</v>
      </c>
      <c r="I301" t="str">
        <f>IF(Sales[[#This Row],[Discount]]&lt;=10,"0-10%",IF(Sales[[#This Row],[Discount]]&lt;=20,"10-20%","20-30%"))</f>
        <v>20-30%</v>
      </c>
      <c r="J301">
        <v>173.04</v>
      </c>
      <c r="K301" t="s">
        <v>261</v>
      </c>
      <c r="L301" t="s">
        <v>264</v>
      </c>
      <c r="M301">
        <f t="shared" si="28"/>
        <v>519.12</v>
      </c>
      <c r="N301">
        <f t="shared" si="29"/>
        <v>641.04599999999994</v>
      </c>
      <c r="O301">
        <f t="shared" si="30"/>
        <v>121.92599999999993</v>
      </c>
      <c r="P301" s="2">
        <f t="shared" si="31"/>
        <v>0.1901985192950271</v>
      </c>
      <c r="Q301" t="str">
        <f t="shared" si="32"/>
        <v>Weekend</v>
      </c>
      <c r="R301" t="str">
        <f t="shared" si="33"/>
        <v>Aug</v>
      </c>
      <c r="S301">
        <f t="shared" si="34"/>
        <v>2024</v>
      </c>
    </row>
    <row r="302" spans="1:19" x14ac:dyDescent="0.25">
      <c r="A302">
        <v>100300</v>
      </c>
      <c r="B302" s="1">
        <v>45593</v>
      </c>
      <c r="C302" t="s">
        <v>48</v>
      </c>
      <c r="D302" t="s">
        <v>90</v>
      </c>
      <c r="E302" t="s">
        <v>259</v>
      </c>
      <c r="F302">
        <v>3</v>
      </c>
      <c r="G302">
        <v>1207.72</v>
      </c>
      <c r="H302">
        <v>20</v>
      </c>
      <c r="I302" t="str">
        <f>IF(Sales[[#This Row],[Discount]]&lt;=10,"0-10%",IF(Sales[[#This Row],[Discount]]&lt;=20,"10-20%","20-30%"))</f>
        <v>10-20%</v>
      </c>
      <c r="J302">
        <v>513.55999999999995</v>
      </c>
      <c r="K302" t="s">
        <v>268</v>
      </c>
      <c r="L302" t="s">
        <v>264</v>
      </c>
      <c r="M302">
        <f t="shared" si="28"/>
        <v>1540.6799999999998</v>
      </c>
      <c r="N302">
        <f t="shared" si="29"/>
        <v>2898.5280000000002</v>
      </c>
      <c r="O302">
        <f t="shared" si="30"/>
        <v>1357.8480000000004</v>
      </c>
      <c r="P302" s="2">
        <f t="shared" si="31"/>
        <v>0.46846123273606477</v>
      </c>
      <c r="Q302" t="str">
        <f t="shared" si="32"/>
        <v>Weekday</v>
      </c>
      <c r="R302" t="str">
        <f t="shared" si="33"/>
        <v>Oct</v>
      </c>
      <c r="S302">
        <f t="shared" si="34"/>
        <v>2024</v>
      </c>
    </row>
    <row r="303" spans="1:19" x14ac:dyDescent="0.25">
      <c r="A303">
        <v>100301</v>
      </c>
      <c r="B303" s="1">
        <v>45626</v>
      </c>
      <c r="C303" t="s">
        <v>37</v>
      </c>
      <c r="D303" t="s">
        <v>64</v>
      </c>
      <c r="E303" t="s">
        <v>254</v>
      </c>
      <c r="F303">
        <v>1</v>
      </c>
      <c r="G303">
        <v>3269.52</v>
      </c>
      <c r="H303">
        <v>15</v>
      </c>
      <c r="I303" t="str">
        <f>IF(Sales[[#This Row],[Discount]]&lt;=10,"0-10%",IF(Sales[[#This Row],[Discount]]&lt;=20,"10-20%","20-30%"))</f>
        <v>10-20%</v>
      </c>
      <c r="J303">
        <v>1562.64</v>
      </c>
      <c r="K303" t="s">
        <v>261</v>
      </c>
      <c r="L303" t="s">
        <v>263</v>
      </c>
      <c r="M303">
        <f t="shared" si="28"/>
        <v>1562.64</v>
      </c>
      <c r="N303">
        <f t="shared" si="29"/>
        <v>2779.0920000000001</v>
      </c>
      <c r="O303">
        <f t="shared" si="30"/>
        <v>1216.452</v>
      </c>
      <c r="P303" s="2">
        <f t="shared" si="31"/>
        <v>0.43771562798208907</v>
      </c>
      <c r="Q303" t="str">
        <f t="shared" si="32"/>
        <v>Weekend</v>
      </c>
      <c r="R303" t="str">
        <f t="shared" si="33"/>
        <v>Nov</v>
      </c>
      <c r="S303">
        <f t="shared" si="34"/>
        <v>2024</v>
      </c>
    </row>
    <row r="304" spans="1:19" x14ac:dyDescent="0.25">
      <c r="A304">
        <v>100302</v>
      </c>
      <c r="B304" s="1">
        <v>45393</v>
      </c>
      <c r="C304" t="s">
        <v>48</v>
      </c>
      <c r="D304" t="s">
        <v>105</v>
      </c>
      <c r="E304" t="s">
        <v>257</v>
      </c>
      <c r="F304">
        <v>4</v>
      </c>
      <c r="G304">
        <v>4147.79</v>
      </c>
      <c r="H304">
        <v>5</v>
      </c>
      <c r="I304" t="str">
        <f>IF(Sales[[#This Row],[Discount]]&lt;=10,"0-10%",IF(Sales[[#This Row],[Discount]]&lt;=20,"10-20%","20-30%"))</f>
        <v>0-10%</v>
      </c>
      <c r="J304">
        <v>1818.95</v>
      </c>
      <c r="K304" t="s">
        <v>268</v>
      </c>
      <c r="L304" t="s">
        <v>266</v>
      </c>
      <c r="M304">
        <f t="shared" si="28"/>
        <v>7275.8</v>
      </c>
      <c r="N304">
        <f t="shared" si="29"/>
        <v>15761.601999999999</v>
      </c>
      <c r="O304">
        <f t="shared" si="30"/>
        <v>8485.8019999999997</v>
      </c>
      <c r="P304" s="2">
        <f t="shared" si="31"/>
        <v>0.53838448655155735</v>
      </c>
      <c r="Q304" t="str">
        <f t="shared" si="32"/>
        <v>Weekday</v>
      </c>
      <c r="R304" t="str">
        <f t="shared" si="33"/>
        <v>Apr</v>
      </c>
      <c r="S304">
        <f t="shared" si="34"/>
        <v>2024</v>
      </c>
    </row>
    <row r="305" spans="1:19" x14ac:dyDescent="0.25">
      <c r="A305">
        <v>100303</v>
      </c>
      <c r="B305" s="1">
        <v>45338</v>
      </c>
      <c r="C305" t="s">
        <v>17</v>
      </c>
      <c r="D305" t="s">
        <v>213</v>
      </c>
      <c r="E305" t="s">
        <v>258</v>
      </c>
      <c r="F305">
        <v>3</v>
      </c>
      <c r="G305">
        <v>2843.95</v>
      </c>
      <c r="H305">
        <v>5</v>
      </c>
      <c r="I305" t="str">
        <f>IF(Sales[[#This Row],[Discount]]&lt;=10,"0-10%",IF(Sales[[#This Row],[Discount]]&lt;=20,"10-20%","20-30%"))</f>
        <v>0-10%</v>
      </c>
      <c r="J305">
        <v>1959.19</v>
      </c>
      <c r="K305" t="s">
        <v>268</v>
      </c>
      <c r="L305" t="s">
        <v>263</v>
      </c>
      <c r="M305">
        <f t="shared" si="28"/>
        <v>5877.57</v>
      </c>
      <c r="N305">
        <f t="shared" si="29"/>
        <v>8105.2574999999979</v>
      </c>
      <c r="O305">
        <f t="shared" si="30"/>
        <v>2227.6874999999982</v>
      </c>
      <c r="P305" s="2">
        <f t="shared" si="31"/>
        <v>0.27484475354422716</v>
      </c>
      <c r="Q305" t="str">
        <f t="shared" si="32"/>
        <v>Weekday</v>
      </c>
      <c r="R305" t="str">
        <f t="shared" si="33"/>
        <v>Feb</v>
      </c>
      <c r="S305">
        <f t="shared" si="34"/>
        <v>2024</v>
      </c>
    </row>
    <row r="306" spans="1:19" x14ac:dyDescent="0.25">
      <c r="A306">
        <v>100304</v>
      </c>
      <c r="B306" s="1">
        <v>45122</v>
      </c>
      <c r="C306" t="s">
        <v>15</v>
      </c>
      <c r="D306" t="s">
        <v>95</v>
      </c>
      <c r="E306" t="s">
        <v>257</v>
      </c>
      <c r="F306">
        <v>3</v>
      </c>
      <c r="G306">
        <v>4680.53</v>
      </c>
      <c r="H306">
        <v>30</v>
      </c>
      <c r="I306" t="str">
        <f>IF(Sales[[#This Row],[Discount]]&lt;=10,"0-10%",IF(Sales[[#This Row],[Discount]]&lt;=20,"10-20%","20-30%"))</f>
        <v>20-30%</v>
      </c>
      <c r="J306">
        <v>2016.15</v>
      </c>
      <c r="K306" t="s">
        <v>268</v>
      </c>
      <c r="L306" t="s">
        <v>264</v>
      </c>
      <c r="M306">
        <f t="shared" si="28"/>
        <v>6048.4500000000007</v>
      </c>
      <c r="N306">
        <f t="shared" si="29"/>
        <v>9829.1129999999994</v>
      </c>
      <c r="O306">
        <f t="shared" si="30"/>
        <v>3780.6629999999986</v>
      </c>
      <c r="P306" s="2">
        <f t="shared" si="31"/>
        <v>0.38463928535565711</v>
      </c>
      <c r="Q306" t="str">
        <f t="shared" si="32"/>
        <v>Weekend</v>
      </c>
      <c r="R306" t="str">
        <f t="shared" si="33"/>
        <v>Jul</v>
      </c>
      <c r="S306">
        <f t="shared" si="34"/>
        <v>2023</v>
      </c>
    </row>
    <row r="307" spans="1:19" x14ac:dyDescent="0.25">
      <c r="A307">
        <v>100305</v>
      </c>
      <c r="B307" s="1">
        <v>45118</v>
      </c>
      <c r="C307" t="s">
        <v>20</v>
      </c>
      <c r="D307" t="s">
        <v>198</v>
      </c>
      <c r="E307" t="s">
        <v>254</v>
      </c>
      <c r="F307">
        <v>4</v>
      </c>
      <c r="G307">
        <v>3923.01</v>
      </c>
      <c r="H307">
        <v>0</v>
      </c>
      <c r="I307" t="str">
        <f>IF(Sales[[#This Row],[Discount]]&lt;=10,"0-10%",IF(Sales[[#This Row],[Discount]]&lt;=20,"10-20%","20-30%"))</f>
        <v>0-10%</v>
      </c>
      <c r="J307">
        <v>2684.08</v>
      </c>
      <c r="K307" t="s">
        <v>268</v>
      </c>
      <c r="L307" t="s">
        <v>266</v>
      </c>
      <c r="M307">
        <f t="shared" si="28"/>
        <v>10736.32</v>
      </c>
      <c r="N307">
        <f t="shared" si="29"/>
        <v>15692.04</v>
      </c>
      <c r="O307">
        <f t="shared" si="30"/>
        <v>4955.7200000000012</v>
      </c>
      <c r="P307" s="2">
        <f t="shared" si="31"/>
        <v>0.3158110736398837</v>
      </c>
      <c r="Q307" t="str">
        <f t="shared" si="32"/>
        <v>Weekday</v>
      </c>
      <c r="R307" t="str">
        <f t="shared" si="33"/>
        <v>Jul</v>
      </c>
      <c r="S307">
        <f t="shared" si="34"/>
        <v>2023</v>
      </c>
    </row>
    <row r="308" spans="1:19" x14ac:dyDescent="0.25">
      <c r="A308">
        <v>100306</v>
      </c>
      <c r="B308" s="1">
        <v>45631</v>
      </c>
      <c r="C308" t="s">
        <v>60</v>
      </c>
      <c r="D308" t="s">
        <v>197</v>
      </c>
      <c r="E308" t="s">
        <v>258</v>
      </c>
      <c r="F308">
        <v>4</v>
      </c>
      <c r="G308">
        <v>616.54999999999995</v>
      </c>
      <c r="H308">
        <v>0</v>
      </c>
      <c r="I308" t="str">
        <f>IF(Sales[[#This Row],[Discount]]&lt;=10,"0-10%",IF(Sales[[#This Row],[Discount]]&lt;=20,"10-20%","20-30%"))</f>
        <v>0-10%</v>
      </c>
      <c r="J308">
        <v>354.3</v>
      </c>
      <c r="K308" t="s">
        <v>268</v>
      </c>
      <c r="L308" t="s">
        <v>266</v>
      </c>
      <c r="M308">
        <f t="shared" si="28"/>
        <v>1417.2</v>
      </c>
      <c r="N308">
        <f t="shared" si="29"/>
        <v>2466.1999999999998</v>
      </c>
      <c r="O308">
        <f t="shared" si="30"/>
        <v>1048.9999999999998</v>
      </c>
      <c r="P308" s="2">
        <f t="shared" si="31"/>
        <v>0.4253507420322763</v>
      </c>
      <c r="Q308" t="str">
        <f t="shared" si="32"/>
        <v>Weekday</v>
      </c>
      <c r="R308" t="str">
        <f t="shared" si="33"/>
        <v>Dec</v>
      </c>
      <c r="S308">
        <f t="shared" si="34"/>
        <v>2024</v>
      </c>
    </row>
    <row r="309" spans="1:19" x14ac:dyDescent="0.25">
      <c r="A309">
        <v>100307</v>
      </c>
      <c r="B309" s="1">
        <v>45196</v>
      </c>
      <c r="C309" t="s">
        <v>48</v>
      </c>
      <c r="D309" t="s">
        <v>64</v>
      </c>
      <c r="E309" t="s">
        <v>259</v>
      </c>
      <c r="F309">
        <v>2</v>
      </c>
      <c r="G309">
        <v>651.05999999999995</v>
      </c>
      <c r="H309">
        <v>25</v>
      </c>
      <c r="I309" t="str">
        <f>IF(Sales[[#This Row],[Discount]]&lt;=10,"0-10%",IF(Sales[[#This Row],[Discount]]&lt;=20,"10-20%","20-30%"))</f>
        <v>20-30%</v>
      </c>
      <c r="J309">
        <v>426.92</v>
      </c>
      <c r="K309" t="s">
        <v>262</v>
      </c>
      <c r="L309" t="s">
        <v>263</v>
      </c>
      <c r="M309">
        <f t="shared" si="28"/>
        <v>853.84</v>
      </c>
      <c r="N309">
        <f t="shared" si="29"/>
        <v>976.58999999999992</v>
      </c>
      <c r="O309">
        <f t="shared" si="30"/>
        <v>122.74999999999989</v>
      </c>
      <c r="P309" s="2">
        <f t="shared" si="31"/>
        <v>0.12569246050031221</v>
      </c>
      <c r="Q309" t="str">
        <f t="shared" si="32"/>
        <v>Weekday</v>
      </c>
      <c r="R309" t="str">
        <f t="shared" si="33"/>
        <v>Sep</v>
      </c>
      <c r="S309">
        <f t="shared" si="34"/>
        <v>2023</v>
      </c>
    </row>
    <row r="310" spans="1:19" x14ac:dyDescent="0.25">
      <c r="A310">
        <v>100308</v>
      </c>
      <c r="B310" s="1">
        <v>45153</v>
      </c>
      <c r="C310" t="s">
        <v>39</v>
      </c>
      <c r="D310" t="s">
        <v>163</v>
      </c>
      <c r="E310" t="s">
        <v>256</v>
      </c>
      <c r="F310">
        <v>3</v>
      </c>
      <c r="G310">
        <v>4853.7299999999996</v>
      </c>
      <c r="H310">
        <v>30</v>
      </c>
      <c r="I310" t="str">
        <f>IF(Sales[[#This Row],[Discount]]&lt;=10,"0-10%",IF(Sales[[#This Row],[Discount]]&lt;=20,"10-20%","20-30%"))</f>
        <v>20-30%</v>
      </c>
      <c r="J310">
        <v>3033.07</v>
      </c>
      <c r="K310" t="s">
        <v>268</v>
      </c>
      <c r="L310" t="s">
        <v>265</v>
      </c>
      <c r="M310">
        <f t="shared" si="28"/>
        <v>9099.2100000000009</v>
      </c>
      <c r="N310">
        <f t="shared" si="29"/>
        <v>10192.832999999999</v>
      </c>
      <c r="O310">
        <f t="shared" si="30"/>
        <v>1093.6229999999978</v>
      </c>
      <c r="P310" s="2">
        <f t="shared" si="31"/>
        <v>0.10729333051959135</v>
      </c>
      <c r="Q310" t="str">
        <f t="shared" si="32"/>
        <v>Weekday</v>
      </c>
      <c r="R310" t="str">
        <f t="shared" si="33"/>
        <v>Aug</v>
      </c>
      <c r="S310">
        <f t="shared" si="34"/>
        <v>2023</v>
      </c>
    </row>
    <row r="311" spans="1:19" x14ac:dyDescent="0.25">
      <c r="A311">
        <v>100309</v>
      </c>
      <c r="B311" s="1">
        <v>44959</v>
      </c>
      <c r="C311" t="s">
        <v>31</v>
      </c>
      <c r="D311" t="s">
        <v>144</v>
      </c>
      <c r="E311" t="s">
        <v>260</v>
      </c>
      <c r="F311">
        <v>1</v>
      </c>
      <c r="G311">
        <v>2102.98</v>
      </c>
      <c r="H311">
        <v>5</v>
      </c>
      <c r="I311" t="str">
        <f>IF(Sales[[#This Row],[Discount]]&lt;=10,"0-10%",IF(Sales[[#This Row],[Discount]]&lt;=20,"10-20%","20-30%"))</f>
        <v>0-10%</v>
      </c>
      <c r="J311">
        <v>882.6</v>
      </c>
      <c r="K311" t="s">
        <v>262</v>
      </c>
      <c r="L311" t="s">
        <v>267</v>
      </c>
      <c r="M311">
        <f t="shared" si="28"/>
        <v>882.6</v>
      </c>
      <c r="N311">
        <f t="shared" si="29"/>
        <v>1997.8309999999999</v>
      </c>
      <c r="O311">
        <f t="shared" si="30"/>
        <v>1115.2309999999998</v>
      </c>
      <c r="P311" s="2">
        <f t="shared" si="31"/>
        <v>0.5582208905558077</v>
      </c>
      <c r="Q311" t="str">
        <f t="shared" si="32"/>
        <v>Weekday</v>
      </c>
      <c r="R311" t="str">
        <f t="shared" si="33"/>
        <v>Feb</v>
      </c>
      <c r="S311">
        <f t="shared" si="34"/>
        <v>2023</v>
      </c>
    </row>
    <row r="312" spans="1:19" x14ac:dyDescent="0.25">
      <c r="A312">
        <v>100310</v>
      </c>
      <c r="B312" s="1">
        <v>45496</v>
      </c>
      <c r="C312" t="s">
        <v>43</v>
      </c>
      <c r="D312" t="s">
        <v>162</v>
      </c>
      <c r="E312" t="s">
        <v>258</v>
      </c>
      <c r="F312">
        <v>3</v>
      </c>
      <c r="G312">
        <v>2596.62</v>
      </c>
      <c r="H312">
        <v>30</v>
      </c>
      <c r="I312" t="str">
        <f>IF(Sales[[#This Row],[Discount]]&lt;=10,"0-10%",IF(Sales[[#This Row],[Discount]]&lt;=20,"10-20%","20-30%"))</f>
        <v>20-30%</v>
      </c>
      <c r="J312">
        <v>1638.78</v>
      </c>
      <c r="K312" t="s">
        <v>262</v>
      </c>
      <c r="L312" t="s">
        <v>266</v>
      </c>
      <c r="M312">
        <f t="shared" si="28"/>
        <v>4916.34</v>
      </c>
      <c r="N312">
        <f t="shared" si="29"/>
        <v>5452.9019999999991</v>
      </c>
      <c r="O312">
        <f t="shared" si="30"/>
        <v>536.56199999999899</v>
      </c>
      <c r="P312" s="2">
        <f t="shared" si="31"/>
        <v>9.8399347723468908E-2</v>
      </c>
      <c r="Q312" t="str">
        <f t="shared" si="32"/>
        <v>Weekday</v>
      </c>
      <c r="R312" t="str">
        <f t="shared" si="33"/>
        <v>Jul</v>
      </c>
      <c r="S312">
        <f t="shared" si="34"/>
        <v>2024</v>
      </c>
    </row>
    <row r="313" spans="1:19" x14ac:dyDescent="0.25">
      <c r="A313">
        <v>100311</v>
      </c>
      <c r="B313" s="1">
        <v>45025</v>
      </c>
      <c r="C313" t="s">
        <v>50</v>
      </c>
      <c r="D313" t="s">
        <v>214</v>
      </c>
      <c r="E313" t="s">
        <v>258</v>
      </c>
      <c r="F313">
        <v>2</v>
      </c>
      <c r="G313">
        <v>1586.05</v>
      </c>
      <c r="H313">
        <v>20</v>
      </c>
      <c r="I313" t="str">
        <f>IF(Sales[[#This Row],[Discount]]&lt;=10,"0-10%",IF(Sales[[#This Row],[Discount]]&lt;=20,"10-20%","20-30%"))</f>
        <v>10-20%</v>
      </c>
      <c r="J313">
        <v>1108.8699999999999</v>
      </c>
      <c r="K313" t="s">
        <v>268</v>
      </c>
      <c r="L313" t="s">
        <v>264</v>
      </c>
      <c r="M313">
        <f t="shared" si="28"/>
        <v>2217.7399999999998</v>
      </c>
      <c r="N313">
        <f t="shared" si="29"/>
        <v>2537.6800000000003</v>
      </c>
      <c r="O313">
        <f t="shared" si="30"/>
        <v>319.94000000000051</v>
      </c>
      <c r="P313" s="2">
        <f t="shared" si="31"/>
        <v>0.12607578575706962</v>
      </c>
      <c r="Q313" t="str">
        <f t="shared" si="32"/>
        <v>Weekend</v>
      </c>
      <c r="R313" t="str">
        <f t="shared" si="33"/>
        <v>Apr</v>
      </c>
      <c r="S313">
        <f t="shared" si="34"/>
        <v>2023</v>
      </c>
    </row>
    <row r="314" spans="1:19" x14ac:dyDescent="0.25">
      <c r="A314">
        <v>100312</v>
      </c>
      <c r="B314" s="1">
        <v>45083</v>
      </c>
      <c r="C314" t="s">
        <v>41</v>
      </c>
      <c r="D314" t="s">
        <v>100</v>
      </c>
      <c r="E314" t="s">
        <v>256</v>
      </c>
      <c r="F314">
        <v>1</v>
      </c>
      <c r="G314">
        <v>1069.03</v>
      </c>
      <c r="H314">
        <v>5</v>
      </c>
      <c r="I314" t="str">
        <f>IF(Sales[[#This Row],[Discount]]&lt;=10,"0-10%",IF(Sales[[#This Row],[Discount]]&lt;=20,"10-20%","20-30%"))</f>
        <v>0-10%</v>
      </c>
      <c r="J314">
        <v>682.51</v>
      </c>
      <c r="K314" t="s">
        <v>262</v>
      </c>
      <c r="L314" t="s">
        <v>264</v>
      </c>
      <c r="M314">
        <f t="shared" si="28"/>
        <v>682.51</v>
      </c>
      <c r="N314">
        <f t="shared" si="29"/>
        <v>1015.5785</v>
      </c>
      <c r="O314">
        <f t="shared" si="30"/>
        <v>333.06849999999997</v>
      </c>
      <c r="P314" s="2">
        <f t="shared" si="31"/>
        <v>0.32795938472506064</v>
      </c>
      <c r="Q314" t="str">
        <f t="shared" si="32"/>
        <v>Weekday</v>
      </c>
      <c r="R314" t="str">
        <f t="shared" si="33"/>
        <v>Jun</v>
      </c>
      <c r="S314">
        <f t="shared" si="34"/>
        <v>2023</v>
      </c>
    </row>
    <row r="315" spans="1:19" x14ac:dyDescent="0.25">
      <c r="A315">
        <v>100313</v>
      </c>
      <c r="B315" s="1">
        <v>45010</v>
      </c>
      <c r="C315" t="s">
        <v>28</v>
      </c>
      <c r="D315" t="s">
        <v>197</v>
      </c>
      <c r="E315" t="s">
        <v>259</v>
      </c>
      <c r="F315">
        <v>4</v>
      </c>
      <c r="G315">
        <v>4247.75</v>
      </c>
      <c r="H315">
        <v>0</v>
      </c>
      <c r="I315" t="str">
        <f>IF(Sales[[#This Row],[Discount]]&lt;=10,"0-10%",IF(Sales[[#This Row],[Discount]]&lt;=20,"10-20%","20-30%"))</f>
        <v>0-10%</v>
      </c>
      <c r="J315">
        <v>2683.93</v>
      </c>
      <c r="K315" t="s">
        <v>261</v>
      </c>
      <c r="L315" t="s">
        <v>267</v>
      </c>
      <c r="M315">
        <f t="shared" si="28"/>
        <v>10735.72</v>
      </c>
      <c r="N315">
        <f t="shared" si="29"/>
        <v>16991</v>
      </c>
      <c r="O315">
        <f t="shared" si="30"/>
        <v>6255.2800000000007</v>
      </c>
      <c r="P315" s="2">
        <f t="shared" si="31"/>
        <v>0.36815255135071512</v>
      </c>
      <c r="Q315" t="str">
        <f t="shared" si="32"/>
        <v>Weekend</v>
      </c>
      <c r="R315" t="str">
        <f t="shared" si="33"/>
        <v>Mar</v>
      </c>
      <c r="S315">
        <f t="shared" si="34"/>
        <v>2023</v>
      </c>
    </row>
    <row r="316" spans="1:19" x14ac:dyDescent="0.25">
      <c r="A316">
        <v>100314</v>
      </c>
      <c r="B316" s="1">
        <v>45366</v>
      </c>
      <c r="C316" t="s">
        <v>42</v>
      </c>
      <c r="D316" t="s">
        <v>160</v>
      </c>
      <c r="E316" t="s">
        <v>260</v>
      </c>
      <c r="F316">
        <v>3</v>
      </c>
      <c r="G316">
        <v>1584.32</v>
      </c>
      <c r="H316">
        <v>30</v>
      </c>
      <c r="I316" t="str">
        <f>IF(Sales[[#This Row],[Discount]]&lt;=10,"0-10%",IF(Sales[[#This Row],[Discount]]&lt;=20,"10-20%","20-30%"))</f>
        <v>20-30%</v>
      </c>
      <c r="J316">
        <v>1085.67</v>
      </c>
      <c r="K316" t="s">
        <v>261</v>
      </c>
      <c r="L316" t="s">
        <v>267</v>
      </c>
      <c r="M316">
        <f t="shared" si="28"/>
        <v>3257.01</v>
      </c>
      <c r="N316">
        <f t="shared" si="29"/>
        <v>3327.0719999999997</v>
      </c>
      <c r="O316">
        <f t="shared" si="30"/>
        <v>70.061999999999443</v>
      </c>
      <c r="P316" s="2">
        <f t="shared" si="31"/>
        <v>2.1058155639553173E-2</v>
      </c>
      <c r="Q316" t="str">
        <f t="shared" si="32"/>
        <v>Weekday</v>
      </c>
      <c r="R316" t="str">
        <f t="shared" si="33"/>
        <v>Mar</v>
      </c>
      <c r="S316">
        <f t="shared" si="34"/>
        <v>2024</v>
      </c>
    </row>
    <row r="317" spans="1:19" x14ac:dyDescent="0.25">
      <c r="A317">
        <v>100315</v>
      </c>
      <c r="B317" s="1">
        <v>45010</v>
      </c>
      <c r="C317" t="s">
        <v>14</v>
      </c>
      <c r="D317" t="s">
        <v>211</v>
      </c>
      <c r="E317" t="s">
        <v>257</v>
      </c>
      <c r="F317">
        <v>1</v>
      </c>
      <c r="G317">
        <v>4734.99</v>
      </c>
      <c r="H317">
        <v>20</v>
      </c>
      <c r="I317" t="str">
        <f>IF(Sales[[#This Row],[Discount]]&lt;=10,"0-10%",IF(Sales[[#This Row],[Discount]]&lt;=20,"10-20%","20-30%"))</f>
        <v>10-20%</v>
      </c>
      <c r="J317">
        <v>2490.2199999999998</v>
      </c>
      <c r="K317" t="s">
        <v>268</v>
      </c>
      <c r="L317" t="s">
        <v>265</v>
      </c>
      <c r="M317">
        <f t="shared" si="28"/>
        <v>2490.2199999999998</v>
      </c>
      <c r="N317">
        <f t="shared" si="29"/>
        <v>3787.9920000000002</v>
      </c>
      <c r="O317">
        <f t="shared" si="30"/>
        <v>1297.7720000000004</v>
      </c>
      <c r="P317" s="2">
        <f t="shared" si="31"/>
        <v>0.34260156832432603</v>
      </c>
      <c r="Q317" t="str">
        <f t="shared" si="32"/>
        <v>Weekend</v>
      </c>
      <c r="R317" t="str">
        <f t="shared" si="33"/>
        <v>Mar</v>
      </c>
      <c r="S317">
        <f t="shared" si="34"/>
        <v>2023</v>
      </c>
    </row>
    <row r="318" spans="1:19" x14ac:dyDescent="0.25">
      <c r="A318">
        <v>100316</v>
      </c>
      <c r="B318" s="1">
        <v>45183</v>
      </c>
      <c r="C318" t="s">
        <v>35</v>
      </c>
      <c r="D318" t="s">
        <v>110</v>
      </c>
      <c r="E318" t="s">
        <v>259</v>
      </c>
      <c r="F318">
        <v>3</v>
      </c>
      <c r="G318">
        <v>1588.81</v>
      </c>
      <c r="H318">
        <v>25</v>
      </c>
      <c r="I318" t="str">
        <f>IF(Sales[[#This Row],[Discount]]&lt;=10,"0-10%",IF(Sales[[#This Row],[Discount]]&lt;=20,"10-20%","20-30%"))</f>
        <v>20-30%</v>
      </c>
      <c r="J318">
        <v>1104.53</v>
      </c>
      <c r="K318" t="s">
        <v>261</v>
      </c>
      <c r="L318" t="s">
        <v>264</v>
      </c>
      <c r="M318">
        <f t="shared" si="28"/>
        <v>3313.59</v>
      </c>
      <c r="N318">
        <f t="shared" si="29"/>
        <v>3574.8225000000002</v>
      </c>
      <c r="O318">
        <f t="shared" si="30"/>
        <v>261.23250000000007</v>
      </c>
      <c r="P318" s="2">
        <f t="shared" si="31"/>
        <v>7.3075656203909448E-2</v>
      </c>
      <c r="Q318" t="str">
        <f t="shared" si="32"/>
        <v>Weekday</v>
      </c>
      <c r="R318" t="str">
        <f t="shared" si="33"/>
        <v>Sep</v>
      </c>
      <c r="S318">
        <f t="shared" si="34"/>
        <v>2023</v>
      </c>
    </row>
    <row r="319" spans="1:19" x14ac:dyDescent="0.25">
      <c r="A319">
        <v>100317</v>
      </c>
      <c r="B319" s="1">
        <v>45089</v>
      </c>
      <c r="C319" t="s">
        <v>40</v>
      </c>
      <c r="D319" t="s">
        <v>167</v>
      </c>
      <c r="E319" t="s">
        <v>254</v>
      </c>
      <c r="F319">
        <v>4</v>
      </c>
      <c r="G319">
        <v>3704.79</v>
      </c>
      <c r="H319">
        <v>0</v>
      </c>
      <c r="I319" t="str">
        <f>IF(Sales[[#This Row],[Discount]]&lt;=10,"0-10%",IF(Sales[[#This Row],[Discount]]&lt;=20,"10-20%","20-30%"))</f>
        <v>0-10%</v>
      </c>
      <c r="J319">
        <v>2310.87</v>
      </c>
      <c r="K319" t="s">
        <v>261</v>
      </c>
      <c r="L319" t="s">
        <v>265</v>
      </c>
      <c r="M319">
        <f t="shared" si="28"/>
        <v>9243.48</v>
      </c>
      <c r="N319">
        <f t="shared" si="29"/>
        <v>14819.16</v>
      </c>
      <c r="O319">
        <f t="shared" si="30"/>
        <v>5575.68</v>
      </c>
      <c r="P319" s="2">
        <f t="shared" si="31"/>
        <v>0.37624804644797682</v>
      </c>
      <c r="Q319" t="str">
        <f t="shared" si="32"/>
        <v>Weekday</v>
      </c>
      <c r="R319" t="str">
        <f t="shared" si="33"/>
        <v>Jun</v>
      </c>
      <c r="S319">
        <f t="shared" si="34"/>
        <v>2023</v>
      </c>
    </row>
    <row r="320" spans="1:19" x14ac:dyDescent="0.25">
      <c r="A320">
        <v>100318</v>
      </c>
      <c r="B320" s="1">
        <v>45197</v>
      </c>
      <c r="C320" t="s">
        <v>30</v>
      </c>
      <c r="D320" t="s">
        <v>106</v>
      </c>
      <c r="E320" t="s">
        <v>260</v>
      </c>
      <c r="F320">
        <v>1</v>
      </c>
      <c r="G320">
        <v>3362.83</v>
      </c>
      <c r="H320">
        <v>15</v>
      </c>
      <c r="I320" t="str">
        <f>IF(Sales[[#This Row],[Discount]]&lt;=10,"0-10%",IF(Sales[[#This Row],[Discount]]&lt;=20,"10-20%","20-30%"))</f>
        <v>10-20%</v>
      </c>
      <c r="J320">
        <v>1716.92</v>
      </c>
      <c r="K320" t="s">
        <v>262</v>
      </c>
      <c r="L320" t="s">
        <v>265</v>
      </c>
      <c r="M320">
        <f t="shared" si="28"/>
        <v>1716.92</v>
      </c>
      <c r="N320">
        <f t="shared" si="29"/>
        <v>2858.4054999999998</v>
      </c>
      <c r="O320">
        <f t="shared" si="30"/>
        <v>1141.4854999999998</v>
      </c>
      <c r="P320" s="2">
        <f t="shared" si="31"/>
        <v>0.39934344514800291</v>
      </c>
      <c r="Q320" t="str">
        <f t="shared" si="32"/>
        <v>Weekday</v>
      </c>
      <c r="R320" t="str">
        <f t="shared" si="33"/>
        <v>Sep</v>
      </c>
      <c r="S320">
        <f t="shared" si="34"/>
        <v>2023</v>
      </c>
    </row>
    <row r="321" spans="1:19" x14ac:dyDescent="0.25">
      <c r="A321">
        <v>100319</v>
      </c>
      <c r="B321" s="1">
        <v>45531</v>
      </c>
      <c r="C321" t="s">
        <v>58</v>
      </c>
      <c r="D321" t="s">
        <v>63</v>
      </c>
      <c r="E321" t="s">
        <v>256</v>
      </c>
      <c r="F321">
        <v>4</v>
      </c>
      <c r="G321">
        <v>1048.45</v>
      </c>
      <c r="H321">
        <v>15</v>
      </c>
      <c r="I321" t="str">
        <f>IF(Sales[[#This Row],[Discount]]&lt;=10,"0-10%",IF(Sales[[#This Row],[Discount]]&lt;=20,"10-20%","20-30%"))</f>
        <v>10-20%</v>
      </c>
      <c r="J321">
        <v>483.45</v>
      </c>
      <c r="K321" t="s">
        <v>262</v>
      </c>
      <c r="L321" t="s">
        <v>266</v>
      </c>
      <c r="M321">
        <f t="shared" si="28"/>
        <v>1933.8</v>
      </c>
      <c r="N321">
        <f t="shared" si="29"/>
        <v>3564.73</v>
      </c>
      <c r="O321">
        <f t="shared" si="30"/>
        <v>1630.93</v>
      </c>
      <c r="P321" s="2">
        <f t="shared" si="31"/>
        <v>0.45751852173937441</v>
      </c>
      <c r="Q321" t="str">
        <f t="shared" si="32"/>
        <v>Weekday</v>
      </c>
      <c r="R321" t="str">
        <f t="shared" si="33"/>
        <v>Aug</v>
      </c>
      <c r="S321">
        <f t="shared" si="34"/>
        <v>2024</v>
      </c>
    </row>
    <row r="322" spans="1:19" x14ac:dyDescent="0.25">
      <c r="A322">
        <v>100320</v>
      </c>
      <c r="B322" s="1">
        <v>45125</v>
      </c>
      <c r="C322" t="s">
        <v>29</v>
      </c>
      <c r="D322" t="s">
        <v>215</v>
      </c>
      <c r="E322" t="s">
        <v>259</v>
      </c>
      <c r="F322">
        <v>4</v>
      </c>
      <c r="G322">
        <v>3923.33</v>
      </c>
      <c r="H322">
        <v>20</v>
      </c>
      <c r="I322" t="str">
        <f>IF(Sales[[#This Row],[Discount]]&lt;=10,"0-10%",IF(Sales[[#This Row],[Discount]]&lt;=20,"10-20%","20-30%"))</f>
        <v>10-20%</v>
      </c>
      <c r="J322">
        <v>2563.64</v>
      </c>
      <c r="K322" t="s">
        <v>262</v>
      </c>
      <c r="L322" t="s">
        <v>267</v>
      </c>
      <c r="M322">
        <f t="shared" si="28"/>
        <v>10254.56</v>
      </c>
      <c r="N322">
        <f t="shared" si="29"/>
        <v>12554.656000000001</v>
      </c>
      <c r="O322">
        <f t="shared" si="30"/>
        <v>2300.0960000000014</v>
      </c>
      <c r="P322" s="2">
        <f t="shared" si="31"/>
        <v>0.18320661274988348</v>
      </c>
      <c r="Q322" t="str">
        <f t="shared" si="32"/>
        <v>Weekday</v>
      </c>
      <c r="R322" t="str">
        <f t="shared" si="33"/>
        <v>Jul</v>
      </c>
      <c r="S322">
        <f t="shared" si="34"/>
        <v>2023</v>
      </c>
    </row>
    <row r="323" spans="1:19" x14ac:dyDescent="0.25">
      <c r="A323">
        <v>100321</v>
      </c>
      <c r="B323" s="1">
        <v>45304</v>
      </c>
      <c r="C323" t="s">
        <v>60</v>
      </c>
      <c r="D323" t="s">
        <v>215</v>
      </c>
      <c r="E323" t="s">
        <v>256</v>
      </c>
      <c r="F323">
        <v>1</v>
      </c>
      <c r="G323">
        <v>916.85</v>
      </c>
      <c r="H323">
        <v>30</v>
      </c>
      <c r="I323" t="str">
        <f>IF(Sales[[#This Row],[Discount]]&lt;=10,"0-10%",IF(Sales[[#This Row],[Discount]]&lt;=20,"10-20%","20-30%"))</f>
        <v>20-30%</v>
      </c>
      <c r="J323">
        <v>375.69</v>
      </c>
      <c r="K323" t="s">
        <v>261</v>
      </c>
      <c r="L323" t="s">
        <v>264</v>
      </c>
      <c r="M323">
        <f t="shared" ref="M323:M386" si="35">F323*J323</f>
        <v>375.69</v>
      </c>
      <c r="N323">
        <f t="shared" ref="N323:N386" si="36">F323*G323*(1-H323/100)</f>
        <v>641.79499999999996</v>
      </c>
      <c r="O323">
        <f t="shared" ref="O323:O386" si="37">N323-M323</f>
        <v>266.10499999999996</v>
      </c>
      <c r="P323" s="2">
        <f t="shared" ref="P323:P386" si="38">O323/N323</f>
        <v>0.41462616567595567</v>
      </c>
      <c r="Q323" t="str">
        <f t="shared" ref="Q323:Q386" si="39">IF(WEEKDAY(B323,2)&gt;5,"Weekend","Weekday")</f>
        <v>Weekend</v>
      </c>
      <c r="R323" t="str">
        <f t="shared" ref="R323:R386" si="40">TEXT(B323,"mmm")</f>
        <v>Jan</v>
      </c>
      <c r="S323">
        <f t="shared" ref="S323:S386" si="41">YEAR(B323)</f>
        <v>2024</v>
      </c>
    </row>
    <row r="324" spans="1:19" x14ac:dyDescent="0.25">
      <c r="A324">
        <v>100322</v>
      </c>
      <c r="B324" s="1">
        <v>45132</v>
      </c>
      <c r="C324" t="s">
        <v>36</v>
      </c>
      <c r="D324" t="s">
        <v>216</v>
      </c>
      <c r="E324" t="s">
        <v>260</v>
      </c>
      <c r="F324">
        <v>4</v>
      </c>
      <c r="G324">
        <v>4043.73</v>
      </c>
      <c r="H324">
        <v>15</v>
      </c>
      <c r="I324" t="str">
        <f>IF(Sales[[#This Row],[Discount]]&lt;=10,"0-10%",IF(Sales[[#This Row],[Discount]]&lt;=20,"10-20%","20-30%"))</f>
        <v>10-20%</v>
      </c>
      <c r="J324">
        <v>2201.64</v>
      </c>
      <c r="K324" t="s">
        <v>268</v>
      </c>
      <c r="L324" t="s">
        <v>266</v>
      </c>
      <c r="M324">
        <f t="shared" si="35"/>
        <v>8806.56</v>
      </c>
      <c r="N324">
        <f t="shared" si="36"/>
        <v>13748.681999999999</v>
      </c>
      <c r="O324">
        <f t="shared" si="37"/>
        <v>4942.1219999999994</v>
      </c>
      <c r="P324" s="2">
        <f t="shared" si="38"/>
        <v>0.35946151056515818</v>
      </c>
      <c r="Q324" t="str">
        <f t="shared" si="39"/>
        <v>Weekday</v>
      </c>
      <c r="R324" t="str">
        <f t="shared" si="40"/>
        <v>Jul</v>
      </c>
      <c r="S324">
        <f t="shared" si="41"/>
        <v>2023</v>
      </c>
    </row>
    <row r="325" spans="1:19" x14ac:dyDescent="0.25">
      <c r="A325">
        <v>100323</v>
      </c>
      <c r="B325" s="1">
        <v>45447</v>
      </c>
      <c r="C325" t="s">
        <v>30</v>
      </c>
      <c r="D325" t="s">
        <v>178</v>
      </c>
      <c r="E325" t="s">
        <v>257</v>
      </c>
      <c r="F325">
        <v>1</v>
      </c>
      <c r="G325">
        <v>3154.34</v>
      </c>
      <c r="H325">
        <v>5</v>
      </c>
      <c r="I325" t="str">
        <f>IF(Sales[[#This Row],[Discount]]&lt;=10,"0-10%",IF(Sales[[#This Row],[Discount]]&lt;=20,"10-20%","20-30%"))</f>
        <v>0-10%</v>
      </c>
      <c r="J325">
        <v>1495.98</v>
      </c>
      <c r="K325" t="s">
        <v>268</v>
      </c>
      <c r="L325" t="s">
        <v>265</v>
      </c>
      <c r="M325">
        <f t="shared" si="35"/>
        <v>1495.98</v>
      </c>
      <c r="N325">
        <f t="shared" si="36"/>
        <v>2996.623</v>
      </c>
      <c r="O325">
        <f t="shared" si="37"/>
        <v>1500.643</v>
      </c>
      <c r="P325" s="2">
        <f t="shared" si="38"/>
        <v>0.50077804248315516</v>
      </c>
      <c r="Q325" t="str">
        <f t="shared" si="39"/>
        <v>Weekday</v>
      </c>
      <c r="R325" t="str">
        <f t="shared" si="40"/>
        <v>Jun</v>
      </c>
      <c r="S325">
        <f t="shared" si="41"/>
        <v>2024</v>
      </c>
    </row>
    <row r="326" spans="1:19" x14ac:dyDescent="0.25">
      <c r="A326">
        <v>100324</v>
      </c>
      <c r="B326" s="1">
        <v>45427</v>
      </c>
      <c r="C326" t="s">
        <v>11</v>
      </c>
      <c r="D326" t="s">
        <v>123</v>
      </c>
      <c r="E326" t="s">
        <v>255</v>
      </c>
      <c r="F326">
        <v>4</v>
      </c>
      <c r="G326">
        <v>2610.4899999999998</v>
      </c>
      <c r="H326">
        <v>30</v>
      </c>
      <c r="I326" t="str">
        <f>IF(Sales[[#This Row],[Discount]]&lt;=10,"0-10%",IF(Sales[[#This Row],[Discount]]&lt;=20,"10-20%","20-30%"))</f>
        <v>20-30%</v>
      </c>
      <c r="J326">
        <v>1094.48</v>
      </c>
      <c r="K326" t="s">
        <v>262</v>
      </c>
      <c r="L326" t="s">
        <v>266</v>
      </c>
      <c r="M326">
        <f t="shared" si="35"/>
        <v>4377.92</v>
      </c>
      <c r="N326">
        <f t="shared" si="36"/>
        <v>7309.3719999999985</v>
      </c>
      <c r="O326">
        <f t="shared" si="37"/>
        <v>2931.4519999999984</v>
      </c>
      <c r="P326" s="2">
        <f t="shared" si="38"/>
        <v>0.40105387986820196</v>
      </c>
      <c r="Q326" t="str">
        <f t="shared" si="39"/>
        <v>Weekday</v>
      </c>
      <c r="R326" t="str">
        <f t="shared" si="40"/>
        <v>May</v>
      </c>
      <c r="S326">
        <f t="shared" si="41"/>
        <v>2024</v>
      </c>
    </row>
    <row r="327" spans="1:19" x14ac:dyDescent="0.25">
      <c r="A327">
        <v>100325</v>
      </c>
      <c r="B327" s="1">
        <v>45643</v>
      </c>
      <c r="C327" t="s">
        <v>22</v>
      </c>
      <c r="D327" t="s">
        <v>175</v>
      </c>
      <c r="E327" t="s">
        <v>255</v>
      </c>
      <c r="F327">
        <v>2</v>
      </c>
      <c r="G327">
        <v>4048.53</v>
      </c>
      <c r="H327">
        <v>30</v>
      </c>
      <c r="I327" t="str">
        <f>IF(Sales[[#This Row],[Discount]]&lt;=10,"0-10%",IF(Sales[[#This Row],[Discount]]&lt;=20,"10-20%","20-30%"))</f>
        <v>20-30%</v>
      </c>
      <c r="J327">
        <v>1996.36</v>
      </c>
      <c r="K327" t="s">
        <v>268</v>
      </c>
      <c r="L327" t="s">
        <v>267</v>
      </c>
      <c r="M327">
        <f t="shared" si="35"/>
        <v>3992.72</v>
      </c>
      <c r="N327">
        <f t="shared" si="36"/>
        <v>5667.942</v>
      </c>
      <c r="O327">
        <f t="shared" si="37"/>
        <v>1675.2220000000002</v>
      </c>
      <c r="P327" s="2">
        <f t="shared" si="38"/>
        <v>0.29556089317780604</v>
      </c>
      <c r="Q327" t="str">
        <f t="shared" si="39"/>
        <v>Weekday</v>
      </c>
      <c r="R327" t="str">
        <f t="shared" si="40"/>
        <v>Dec</v>
      </c>
      <c r="S327">
        <f t="shared" si="41"/>
        <v>2024</v>
      </c>
    </row>
    <row r="328" spans="1:19" x14ac:dyDescent="0.25">
      <c r="A328">
        <v>100326</v>
      </c>
      <c r="B328" s="1">
        <v>45292</v>
      </c>
      <c r="C328" t="s">
        <v>44</v>
      </c>
      <c r="D328" t="s">
        <v>168</v>
      </c>
      <c r="E328" t="s">
        <v>255</v>
      </c>
      <c r="F328">
        <v>1</v>
      </c>
      <c r="G328">
        <v>640.5</v>
      </c>
      <c r="H328">
        <v>20</v>
      </c>
      <c r="I328" t="str">
        <f>IF(Sales[[#This Row],[Discount]]&lt;=10,"0-10%",IF(Sales[[#This Row],[Discount]]&lt;=20,"10-20%","20-30%"))</f>
        <v>10-20%</v>
      </c>
      <c r="J328">
        <v>331.62</v>
      </c>
      <c r="K328" t="s">
        <v>262</v>
      </c>
      <c r="L328" t="s">
        <v>266</v>
      </c>
      <c r="M328">
        <f t="shared" si="35"/>
        <v>331.62</v>
      </c>
      <c r="N328">
        <f t="shared" si="36"/>
        <v>512.4</v>
      </c>
      <c r="O328">
        <f t="shared" si="37"/>
        <v>180.77999999999997</v>
      </c>
      <c r="P328" s="2">
        <f t="shared" si="38"/>
        <v>0.35281030444964867</v>
      </c>
      <c r="Q328" t="str">
        <f t="shared" si="39"/>
        <v>Weekday</v>
      </c>
      <c r="R328" t="str">
        <f t="shared" si="40"/>
        <v>Jan</v>
      </c>
      <c r="S328">
        <f t="shared" si="41"/>
        <v>2024</v>
      </c>
    </row>
    <row r="329" spans="1:19" x14ac:dyDescent="0.25">
      <c r="A329">
        <v>100327</v>
      </c>
      <c r="B329" s="1">
        <v>45028</v>
      </c>
      <c r="C329" t="s">
        <v>45</v>
      </c>
      <c r="D329" t="s">
        <v>217</v>
      </c>
      <c r="E329" t="s">
        <v>255</v>
      </c>
      <c r="F329">
        <v>2</v>
      </c>
      <c r="G329">
        <v>1670.81</v>
      </c>
      <c r="H329">
        <v>10</v>
      </c>
      <c r="I329" t="str">
        <f>IF(Sales[[#This Row],[Discount]]&lt;=10,"0-10%",IF(Sales[[#This Row],[Discount]]&lt;=20,"10-20%","20-30%"))</f>
        <v>0-10%</v>
      </c>
      <c r="J329">
        <v>1016.68</v>
      </c>
      <c r="K329" t="s">
        <v>268</v>
      </c>
      <c r="L329" t="s">
        <v>266</v>
      </c>
      <c r="M329">
        <f t="shared" si="35"/>
        <v>2033.36</v>
      </c>
      <c r="N329">
        <f t="shared" si="36"/>
        <v>3007.4580000000001</v>
      </c>
      <c r="O329">
        <f t="shared" si="37"/>
        <v>974.09800000000018</v>
      </c>
      <c r="P329" s="2">
        <f t="shared" si="38"/>
        <v>0.32389413251988897</v>
      </c>
      <c r="Q329" t="str">
        <f t="shared" si="39"/>
        <v>Weekday</v>
      </c>
      <c r="R329" t="str">
        <f t="shared" si="40"/>
        <v>Apr</v>
      </c>
      <c r="S329">
        <f t="shared" si="41"/>
        <v>2023</v>
      </c>
    </row>
    <row r="330" spans="1:19" x14ac:dyDescent="0.25">
      <c r="A330">
        <v>100328</v>
      </c>
      <c r="B330" s="1">
        <v>45479</v>
      </c>
      <c r="C330" t="s">
        <v>35</v>
      </c>
      <c r="D330" t="s">
        <v>179</v>
      </c>
      <c r="E330" t="s">
        <v>257</v>
      </c>
      <c r="F330">
        <v>4</v>
      </c>
      <c r="G330">
        <v>3704.14</v>
      </c>
      <c r="H330">
        <v>5</v>
      </c>
      <c r="I330" t="str">
        <f>IF(Sales[[#This Row],[Discount]]&lt;=10,"0-10%",IF(Sales[[#This Row],[Discount]]&lt;=20,"10-20%","20-30%"))</f>
        <v>0-10%</v>
      </c>
      <c r="J330">
        <v>2314.16</v>
      </c>
      <c r="K330" t="s">
        <v>262</v>
      </c>
      <c r="L330" t="s">
        <v>263</v>
      </c>
      <c r="M330">
        <f t="shared" si="35"/>
        <v>9256.64</v>
      </c>
      <c r="N330">
        <f t="shared" si="36"/>
        <v>14075.731999999998</v>
      </c>
      <c r="O330">
        <f t="shared" si="37"/>
        <v>4819.0919999999987</v>
      </c>
      <c r="P330" s="2">
        <f t="shared" si="38"/>
        <v>0.34236883737201018</v>
      </c>
      <c r="Q330" t="str">
        <f t="shared" si="39"/>
        <v>Weekend</v>
      </c>
      <c r="R330" t="str">
        <f t="shared" si="40"/>
        <v>Jul</v>
      </c>
      <c r="S330">
        <f t="shared" si="41"/>
        <v>2024</v>
      </c>
    </row>
    <row r="331" spans="1:19" x14ac:dyDescent="0.25">
      <c r="A331">
        <v>100329</v>
      </c>
      <c r="B331" s="1">
        <v>45518</v>
      </c>
      <c r="C331" t="s">
        <v>13</v>
      </c>
      <c r="D331" t="s">
        <v>71</v>
      </c>
      <c r="E331" t="s">
        <v>255</v>
      </c>
      <c r="F331">
        <v>4</v>
      </c>
      <c r="G331">
        <v>4937.3100000000004</v>
      </c>
      <c r="H331">
        <v>30</v>
      </c>
      <c r="I331" t="str">
        <f>IF(Sales[[#This Row],[Discount]]&lt;=10,"0-10%",IF(Sales[[#This Row],[Discount]]&lt;=20,"10-20%","20-30%"))</f>
        <v>20-30%</v>
      </c>
      <c r="J331">
        <v>2185.9899999999998</v>
      </c>
      <c r="K331" t="s">
        <v>268</v>
      </c>
      <c r="L331" t="s">
        <v>265</v>
      </c>
      <c r="M331">
        <f t="shared" si="35"/>
        <v>8743.9599999999991</v>
      </c>
      <c r="N331">
        <f t="shared" si="36"/>
        <v>13824.468000000001</v>
      </c>
      <c r="O331">
        <f t="shared" si="37"/>
        <v>5080.5080000000016</v>
      </c>
      <c r="P331" s="2">
        <f t="shared" si="38"/>
        <v>0.3675011580915809</v>
      </c>
      <c r="Q331" t="str">
        <f t="shared" si="39"/>
        <v>Weekday</v>
      </c>
      <c r="R331" t="str">
        <f t="shared" si="40"/>
        <v>Aug</v>
      </c>
      <c r="S331">
        <f t="shared" si="41"/>
        <v>2024</v>
      </c>
    </row>
    <row r="332" spans="1:19" x14ac:dyDescent="0.25">
      <c r="A332">
        <v>100330</v>
      </c>
      <c r="B332" s="1">
        <v>45168</v>
      </c>
      <c r="C332" t="s">
        <v>58</v>
      </c>
      <c r="D332" t="s">
        <v>218</v>
      </c>
      <c r="E332" t="s">
        <v>254</v>
      </c>
      <c r="F332">
        <v>2</v>
      </c>
      <c r="G332">
        <v>1288.6400000000001</v>
      </c>
      <c r="H332">
        <v>30</v>
      </c>
      <c r="I332" t="str">
        <f>IF(Sales[[#This Row],[Discount]]&lt;=10,"0-10%",IF(Sales[[#This Row],[Discount]]&lt;=20,"10-20%","20-30%"))</f>
        <v>20-30%</v>
      </c>
      <c r="J332">
        <v>649.22</v>
      </c>
      <c r="K332" t="s">
        <v>261</v>
      </c>
      <c r="L332" t="s">
        <v>263</v>
      </c>
      <c r="M332">
        <f t="shared" si="35"/>
        <v>1298.44</v>
      </c>
      <c r="N332">
        <f t="shared" si="36"/>
        <v>1804.096</v>
      </c>
      <c r="O332">
        <f t="shared" si="37"/>
        <v>505.65599999999995</v>
      </c>
      <c r="P332" s="2">
        <f t="shared" si="38"/>
        <v>0.28028220227748407</v>
      </c>
      <c r="Q332" t="str">
        <f t="shared" si="39"/>
        <v>Weekday</v>
      </c>
      <c r="R332" t="str">
        <f t="shared" si="40"/>
        <v>Aug</v>
      </c>
      <c r="S332">
        <f t="shared" si="41"/>
        <v>2023</v>
      </c>
    </row>
    <row r="333" spans="1:19" x14ac:dyDescent="0.25">
      <c r="A333">
        <v>100331</v>
      </c>
      <c r="B333" s="1">
        <v>45515</v>
      </c>
      <c r="C333" t="s">
        <v>34</v>
      </c>
      <c r="D333" t="s">
        <v>203</v>
      </c>
      <c r="E333" t="s">
        <v>256</v>
      </c>
      <c r="F333">
        <v>2</v>
      </c>
      <c r="G333">
        <v>2810.94</v>
      </c>
      <c r="H333">
        <v>25</v>
      </c>
      <c r="I333" t="str">
        <f>IF(Sales[[#This Row],[Discount]]&lt;=10,"0-10%",IF(Sales[[#This Row],[Discount]]&lt;=20,"10-20%","20-30%"))</f>
        <v>20-30%</v>
      </c>
      <c r="J333">
        <v>1868.6</v>
      </c>
      <c r="K333" t="s">
        <v>262</v>
      </c>
      <c r="L333" t="s">
        <v>264</v>
      </c>
      <c r="M333">
        <f t="shared" si="35"/>
        <v>3737.2</v>
      </c>
      <c r="N333">
        <f t="shared" si="36"/>
        <v>4216.41</v>
      </c>
      <c r="O333">
        <f t="shared" si="37"/>
        <v>479.21000000000004</v>
      </c>
      <c r="P333" s="2">
        <f t="shared" si="38"/>
        <v>0.11365355835888825</v>
      </c>
      <c r="Q333" t="str">
        <f t="shared" si="39"/>
        <v>Weekend</v>
      </c>
      <c r="R333" t="str">
        <f t="shared" si="40"/>
        <v>Aug</v>
      </c>
      <c r="S333">
        <f t="shared" si="41"/>
        <v>2024</v>
      </c>
    </row>
    <row r="334" spans="1:19" x14ac:dyDescent="0.25">
      <c r="A334">
        <v>100332</v>
      </c>
      <c r="B334" s="1">
        <v>45016</v>
      </c>
      <c r="C334" t="s">
        <v>40</v>
      </c>
      <c r="D334" t="s">
        <v>219</v>
      </c>
      <c r="E334" t="s">
        <v>260</v>
      </c>
      <c r="F334">
        <v>2</v>
      </c>
      <c r="G334">
        <v>2165.54</v>
      </c>
      <c r="H334">
        <v>5</v>
      </c>
      <c r="I334" t="str">
        <f>IF(Sales[[#This Row],[Discount]]&lt;=10,"0-10%",IF(Sales[[#This Row],[Discount]]&lt;=20,"10-20%","20-30%"))</f>
        <v>0-10%</v>
      </c>
      <c r="J334">
        <v>952.44</v>
      </c>
      <c r="K334" t="s">
        <v>262</v>
      </c>
      <c r="L334" t="s">
        <v>266</v>
      </c>
      <c r="M334">
        <f t="shared" si="35"/>
        <v>1904.88</v>
      </c>
      <c r="N334">
        <f t="shared" si="36"/>
        <v>4114.5259999999998</v>
      </c>
      <c r="O334">
        <f t="shared" si="37"/>
        <v>2209.6459999999997</v>
      </c>
      <c r="P334" s="2">
        <f t="shared" si="38"/>
        <v>0.53703537175363569</v>
      </c>
      <c r="Q334" t="str">
        <f t="shared" si="39"/>
        <v>Weekday</v>
      </c>
      <c r="R334" t="str">
        <f t="shared" si="40"/>
        <v>Mar</v>
      </c>
      <c r="S334">
        <f t="shared" si="41"/>
        <v>2023</v>
      </c>
    </row>
    <row r="335" spans="1:19" x14ac:dyDescent="0.25">
      <c r="A335">
        <v>100333</v>
      </c>
      <c r="B335" s="1">
        <v>45354</v>
      </c>
      <c r="C335" t="s">
        <v>50</v>
      </c>
      <c r="D335" t="s">
        <v>220</v>
      </c>
      <c r="E335" t="s">
        <v>257</v>
      </c>
      <c r="F335">
        <v>2</v>
      </c>
      <c r="G335">
        <v>4062.76</v>
      </c>
      <c r="H335">
        <v>25</v>
      </c>
      <c r="I335" t="str">
        <f>IF(Sales[[#This Row],[Discount]]&lt;=10,"0-10%",IF(Sales[[#This Row],[Discount]]&lt;=20,"10-20%","20-30%"))</f>
        <v>20-30%</v>
      </c>
      <c r="J335">
        <v>1869.05</v>
      </c>
      <c r="K335" t="s">
        <v>268</v>
      </c>
      <c r="L335" t="s">
        <v>263</v>
      </c>
      <c r="M335">
        <f t="shared" si="35"/>
        <v>3738.1</v>
      </c>
      <c r="N335">
        <f t="shared" si="36"/>
        <v>6094.14</v>
      </c>
      <c r="O335">
        <f t="shared" si="37"/>
        <v>2356.0400000000004</v>
      </c>
      <c r="P335" s="2">
        <f t="shared" si="38"/>
        <v>0.38660746225062115</v>
      </c>
      <c r="Q335" t="str">
        <f t="shared" si="39"/>
        <v>Weekend</v>
      </c>
      <c r="R335" t="str">
        <f t="shared" si="40"/>
        <v>Mar</v>
      </c>
      <c r="S335">
        <f t="shared" si="41"/>
        <v>2024</v>
      </c>
    </row>
    <row r="336" spans="1:19" x14ac:dyDescent="0.25">
      <c r="A336">
        <v>100334</v>
      </c>
      <c r="B336" s="1">
        <v>44935</v>
      </c>
      <c r="C336" t="s">
        <v>24</v>
      </c>
      <c r="D336" t="s">
        <v>211</v>
      </c>
      <c r="E336" t="s">
        <v>256</v>
      </c>
      <c r="F336">
        <v>4</v>
      </c>
      <c r="G336">
        <v>3291.22</v>
      </c>
      <c r="H336">
        <v>15</v>
      </c>
      <c r="I336" t="str">
        <f>IF(Sales[[#This Row],[Discount]]&lt;=10,"0-10%",IF(Sales[[#This Row],[Discount]]&lt;=20,"10-20%","20-30%"))</f>
        <v>10-20%</v>
      </c>
      <c r="J336">
        <v>2014.04</v>
      </c>
      <c r="K336" t="s">
        <v>261</v>
      </c>
      <c r="L336" t="s">
        <v>263</v>
      </c>
      <c r="M336">
        <f t="shared" si="35"/>
        <v>8056.16</v>
      </c>
      <c r="N336">
        <f t="shared" si="36"/>
        <v>11190.147999999999</v>
      </c>
      <c r="O336">
        <f t="shared" si="37"/>
        <v>3133.9879999999994</v>
      </c>
      <c r="P336" s="2">
        <f t="shared" si="38"/>
        <v>0.28006671582895953</v>
      </c>
      <c r="Q336" t="str">
        <f t="shared" si="39"/>
        <v>Weekday</v>
      </c>
      <c r="R336" t="str">
        <f t="shared" si="40"/>
        <v>Jan</v>
      </c>
      <c r="S336">
        <f t="shared" si="41"/>
        <v>2023</v>
      </c>
    </row>
    <row r="337" spans="1:19" x14ac:dyDescent="0.25">
      <c r="A337">
        <v>100335</v>
      </c>
      <c r="B337" s="1">
        <v>45296</v>
      </c>
      <c r="C337" t="s">
        <v>20</v>
      </c>
      <c r="D337" t="s">
        <v>118</v>
      </c>
      <c r="E337" t="s">
        <v>256</v>
      </c>
      <c r="F337">
        <v>1</v>
      </c>
      <c r="G337">
        <v>544.27</v>
      </c>
      <c r="H337">
        <v>10</v>
      </c>
      <c r="I337" t="str">
        <f>IF(Sales[[#This Row],[Discount]]&lt;=10,"0-10%",IF(Sales[[#This Row],[Discount]]&lt;=20,"10-20%","20-30%"))</f>
        <v>0-10%</v>
      </c>
      <c r="J337">
        <v>306.08999999999997</v>
      </c>
      <c r="K337" t="s">
        <v>268</v>
      </c>
      <c r="L337" t="s">
        <v>265</v>
      </c>
      <c r="M337">
        <f t="shared" si="35"/>
        <v>306.08999999999997</v>
      </c>
      <c r="N337">
        <f t="shared" si="36"/>
        <v>489.84300000000002</v>
      </c>
      <c r="O337">
        <f t="shared" si="37"/>
        <v>183.75300000000004</v>
      </c>
      <c r="P337" s="2">
        <f t="shared" si="38"/>
        <v>0.37512631598287621</v>
      </c>
      <c r="Q337" t="str">
        <f t="shared" si="39"/>
        <v>Weekday</v>
      </c>
      <c r="R337" t="str">
        <f t="shared" si="40"/>
        <v>Jan</v>
      </c>
      <c r="S337">
        <f t="shared" si="41"/>
        <v>2024</v>
      </c>
    </row>
    <row r="338" spans="1:19" x14ac:dyDescent="0.25">
      <c r="A338">
        <v>100336</v>
      </c>
      <c r="B338" s="1">
        <v>45244</v>
      </c>
      <c r="C338" t="s">
        <v>34</v>
      </c>
      <c r="D338" t="s">
        <v>166</v>
      </c>
      <c r="E338" t="s">
        <v>254</v>
      </c>
      <c r="F338">
        <v>4</v>
      </c>
      <c r="G338">
        <v>3656.21</v>
      </c>
      <c r="H338">
        <v>10</v>
      </c>
      <c r="I338" t="str">
        <f>IF(Sales[[#This Row],[Discount]]&lt;=10,"0-10%",IF(Sales[[#This Row],[Discount]]&lt;=20,"10-20%","20-30%"))</f>
        <v>0-10%</v>
      </c>
      <c r="J338">
        <v>2341.87</v>
      </c>
      <c r="K338" t="s">
        <v>261</v>
      </c>
      <c r="L338" t="s">
        <v>267</v>
      </c>
      <c r="M338">
        <f t="shared" si="35"/>
        <v>9367.48</v>
      </c>
      <c r="N338">
        <f t="shared" si="36"/>
        <v>13162.356</v>
      </c>
      <c r="O338">
        <f t="shared" si="37"/>
        <v>3794.8760000000002</v>
      </c>
      <c r="P338" s="2">
        <f t="shared" si="38"/>
        <v>0.28831282180788914</v>
      </c>
      <c r="Q338" t="str">
        <f t="shared" si="39"/>
        <v>Weekday</v>
      </c>
      <c r="R338" t="str">
        <f t="shared" si="40"/>
        <v>Nov</v>
      </c>
      <c r="S338">
        <f t="shared" si="41"/>
        <v>2023</v>
      </c>
    </row>
    <row r="339" spans="1:19" x14ac:dyDescent="0.25">
      <c r="A339">
        <v>100337</v>
      </c>
      <c r="B339" s="1">
        <v>45134</v>
      </c>
      <c r="C339" t="s">
        <v>28</v>
      </c>
      <c r="D339" t="s">
        <v>177</v>
      </c>
      <c r="E339" t="s">
        <v>260</v>
      </c>
      <c r="F339">
        <v>3</v>
      </c>
      <c r="G339">
        <v>2576.67</v>
      </c>
      <c r="H339">
        <v>0</v>
      </c>
      <c r="I339" t="str">
        <f>IF(Sales[[#This Row],[Discount]]&lt;=10,"0-10%",IF(Sales[[#This Row],[Discount]]&lt;=20,"10-20%","20-30%"))</f>
        <v>0-10%</v>
      </c>
      <c r="J339">
        <v>1541.48</v>
      </c>
      <c r="K339" t="s">
        <v>268</v>
      </c>
      <c r="L339" t="s">
        <v>264</v>
      </c>
      <c r="M339">
        <f t="shared" si="35"/>
        <v>4624.4400000000005</v>
      </c>
      <c r="N339">
        <f t="shared" si="36"/>
        <v>7730.01</v>
      </c>
      <c r="O339">
        <f t="shared" si="37"/>
        <v>3105.5699999999997</v>
      </c>
      <c r="P339" s="2">
        <f t="shared" si="38"/>
        <v>0.40175497832473694</v>
      </c>
      <c r="Q339" t="str">
        <f t="shared" si="39"/>
        <v>Weekday</v>
      </c>
      <c r="R339" t="str">
        <f t="shared" si="40"/>
        <v>Jul</v>
      </c>
      <c r="S339">
        <f t="shared" si="41"/>
        <v>2023</v>
      </c>
    </row>
    <row r="340" spans="1:19" x14ac:dyDescent="0.25">
      <c r="A340">
        <v>100338</v>
      </c>
      <c r="B340" s="1">
        <v>45441</v>
      </c>
      <c r="C340" t="s">
        <v>33</v>
      </c>
      <c r="D340" t="s">
        <v>221</v>
      </c>
      <c r="E340" t="s">
        <v>258</v>
      </c>
      <c r="F340">
        <v>2</v>
      </c>
      <c r="G340">
        <v>4141.3</v>
      </c>
      <c r="H340">
        <v>25</v>
      </c>
      <c r="I340" t="str">
        <f>IF(Sales[[#This Row],[Discount]]&lt;=10,"0-10%",IF(Sales[[#This Row],[Discount]]&lt;=20,"10-20%","20-30%"))</f>
        <v>20-30%</v>
      </c>
      <c r="J340">
        <v>2218.48</v>
      </c>
      <c r="K340" t="s">
        <v>262</v>
      </c>
      <c r="L340" t="s">
        <v>267</v>
      </c>
      <c r="M340">
        <f t="shared" si="35"/>
        <v>4436.96</v>
      </c>
      <c r="N340">
        <f t="shared" si="36"/>
        <v>6211.9500000000007</v>
      </c>
      <c r="O340">
        <f t="shared" si="37"/>
        <v>1774.9900000000007</v>
      </c>
      <c r="P340" s="2">
        <f t="shared" si="38"/>
        <v>0.28573797277827423</v>
      </c>
      <c r="Q340" t="str">
        <f t="shared" si="39"/>
        <v>Weekday</v>
      </c>
      <c r="R340" t="str">
        <f t="shared" si="40"/>
        <v>May</v>
      </c>
      <c r="S340">
        <f t="shared" si="41"/>
        <v>2024</v>
      </c>
    </row>
    <row r="341" spans="1:19" x14ac:dyDescent="0.25">
      <c r="A341">
        <v>100339</v>
      </c>
      <c r="B341" s="1">
        <v>44938</v>
      </c>
      <c r="C341" t="s">
        <v>53</v>
      </c>
      <c r="D341" t="s">
        <v>222</v>
      </c>
      <c r="E341" t="s">
        <v>255</v>
      </c>
      <c r="F341">
        <v>1</v>
      </c>
      <c r="G341">
        <v>1070.8</v>
      </c>
      <c r="H341">
        <v>5</v>
      </c>
      <c r="I341" t="str">
        <f>IF(Sales[[#This Row],[Discount]]&lt;=10,"0-10%",IF(Sales[[#This Row],[Discount]]&lt;=20,"10-20%","20-30%"))</f>
        <v>0-10%</v>
      </c>
      <c r="J341">
        <v>569.22</v>
      </c>
      <c r="K341" t="s">
        <v>268</v>
      </c>
      <c r="L341" t="s">
        <v>266</v>
      </c>
      <c r="M341">
        <f t="shared" si="35"/>
        <v>569.22</v>
      </c>
      <c r="N341">
        <f t="shared" si="36"/>
        <v>1017.2599999999999</v>
      </c>
      <c r="O341">
        <f t="shared" si="37"/>
        <v>448.03999999999985</v>
      </c>
      <c r="P341" s="2">
        <f t="shared" si="38"/>
        <v>0.44043803943927795</v>
      </c>
      <c r="Q341" t="str">
        <f t="shared" si="39"/>
        <v>Weekday</v>
      </c>
      <c r="R341" t="str">
        <f t="shared" si="40"/>
        <v>Jan</v>
      </c>
      <c r="S341">
        <f t="shared" si="41"/>
        <v>2023</v>
      </c>
    </row>
    <row r="342" spans="1:19" x14ac:dyDescent="0.25">
      <c r="A342">
        <v>100340</v>
      </c>
      <c r="B342" s="1">
        <v>45048</v>
      </c>
      <c r="C342" t="s">
        <v>13</v>
      </c>
      <c r="D342" t="s">
        <v>136</v>
      </c>
      <c r="E342" t="s">
        <v>259</v>
      </c>
      <c r="F342">
        <v>4</v>
      </c>
      <c r="G342">
        <v>1049.8599999999999</v>
      </c>
      <c r="H342">
        <v>20</v>
      </c>
      <c r="I342" t="str">
        <f>IF(Sales[[#This Row],[Discount]]&lt;=10,"0-10%",IF(Sales[[#This Row],[Discount]]&lt;=20,"10-20%","20-30%"))</f>
        <v>10-20%</v>
      </c>
      <c r="J342">
        <v>694.52</v>
      </c>
      <c r="K342" t="s">
        <v>261</v>
      </c>
      <c r="L342" t="s">
        <v>264</v>
      </c>
      <c r="M342">
        <f t="shared" si="35"/>
        <v>2778.08</v>
      </c>
      <c r="N342">
        <f t="shared" si="36"/>
        <v>3359.5519999999997</v>
      </c>
      <c r="O342">
        <f t="shared" si="37"/>
        <v>581.47199999999975</v>
      </c>
      <c r="P342" s="2">
        <f t="shared" si="38"/>
        <v>0.17308022021983877</v>
      </c>
      <c r="Q342" t="str">
        <f t="shared" si="39"/>
        <v>Weekday</v>
      </c>
      <c r="R342" t="str">
        <f t="shared" si="40"/>
        <v>May</v>
      </c>
      <c r="S342">
        <f t="shared" si="41"/>
        <v>2023</v>
      </c>
    </row>
    <row r="343" spans="1:19" x14ac:dyDescent="0.25">
      <c r="A343">
        <v>100341</v>
      </c>
      <c r="B343" s="1">
        <v>45557</v>
      </c>
      <c r="C343" t="s">
        <v>58</v>
      </c>
      <c r="D343" t="s">
        <v>63</v>
      </c>
      <c r="E343" t="s">
        <v>255</v>
      </c>
      <c r="F343">
        <v>3</v>
      </c>
      <c r="G343">
        <v>2509.86</v>
      </c>
      <c r="H343">
        <v>5</v>
      </c>
      <c r="I343" t="str">
        <f>IF(Sales[[#This Row],[Discount]]&lt;=10,"0-10%",IF(Sales[[#This Row],[Discount]]&lt;=20,"10-20%","20-30%"))</f>
        <v>0-10%</v>
      </c>
      <c r="J343">
        <v>1564.35</v>
      </c>
      <c r="K343" t="s">
        <v>261</v>
      </c>
      <c r="L343" t="s">
        <v>265</v>
      </c>
      <c r="M343">
        <f t="shared" si="35"/>
        <v>4693.0499999999993</v>
      </c>
      <c r="N343">
        <f t="shared" si="36"/>
        <v>7153.1009999999997</v>
      </c>
      <c r="O343">
        <f t="shared" si="37"/>
        <v>2460.0510000000004</v>
      </c>
      <c r="P343" s="2">
        <f t="shared" si="38"/>
        <v>0.34391391929178694</v>
      </c>
      <c r="Q343" t="str">
        <f t="shared" si="39"/>
        <v>Weekend</v>
      </c>
      <c r="R343" t="str">
        <f t="shared" si="40"/>
        <v>Sep</v>
      </c>
      <c r="S343">
        <f t="shared" si="41"/>
        <v>2024</v>
      </c>
    </row>
    <row r="344" spans="1:19" x14ac:dyDescent="0.25">
      <c r="A344">
        <v>100342</v>
      </c>
      <c r="B344" s="1">
        <v>45649</v>
      </c>
      <c r="C344" t="s">
        <v>32</v>
      </c>
      <c r="D344" t="s">
        <v>223</v>
      </c>
      <c r="E344" t="s">
        <v>257</v>
      </c>
      <c r="F344">
        <v>3</v>
      </c>
      <c r="G344">
        <v>505.21</v>
      </c>
      <c r="H344">
        <v>0</v>
      </c>
      <c r="I344" t="str">
        <f>IF(Sales[[#This Row],[Discount]]&lt;=10,"0-10%",IF(Sales[[#This Row],[Discount]]&lt;=20,"10-20%","20-30%"))</f>
        <v>0-10%</v>
      </c>
      <c r="J344">
        <v>226.59</v>
      </c>
      <c r="K344" t="s">
        <v>261</v>
      </c>
      <c r="L344" t="s">
        <v>265</v>
      </c>
      <c r="M344">
        <f t="shared" si="35"/>
        <v>679.77</v>
      </c>
      <c r="N344">
        <f t="shared" si="36"/>
        <v>1515.6299999999999</v>
      </c>
      <c r="O344">
        <f t="shared" si="37"/>
        <v>835.8599999999999</v>
      </c>
      <c r="P344" s="2">
        <f t="shared" si="38"/>
        <v>0.55149343837216203</v>
      </c>
      <c r="Q344" t="str">
        <f t="shared" si="39"/>
        <v>Weekday</v>
      </c>
      <c r="R344" t="str">
        <f t="shared" si="40"/>
        <v>Dec</v>
      </c>
      <c r="S344">
        <f t="shared" si="41"/>
        <v>2024</v>
      </c>
    </row>
    <row r="345" spans="1:19" x14ac:dyDescent="0.25">
      <c r="A345">
        <v>100343</v>
      </c>
      <c r="B345" s="1">
        <v>45569</v>
      </c>
      <c r="C345" t="s">
        <v>45</v>
      </c>
      <c r="D345" t="s">
        <v>224</v>
      </c>
      <c r="E345" t="s">
        <v>260</v>
      </c>
      <c r="F345">
        <v>1</v>
      </c>
      <c r="G345">
        <v>4982.7700000000004</v>
      </c>
      <c r="H345">
        <v>5</v>
      </c>
      <c r="I345" t="str">
        <f>IF(Sales[[#This Row],[Discount]]&lt;=10,"0-10%",IF(Sales[[#This Row],[Discount]]&lt;=20,"10-20%","20-30%"))</f>
        <v>0-10%</v>
      </c>
      <c r="J345">
        <v>3450.26</v>
      </c>
      <c r="K345" t="s">
        <v>268</v>
      </c>
      <c r="L345" t="s">
        <v>267</v>
      </c>
      <c r="M345">
        <f t="shared" si="35"/>
        <v>3450.26</v>
      </c>
      <c r="N345">
        <f t="shared" si="36"/>
        <v>4733.6315000000004</v>
      </c>
      <c r="O345">
        <f t="shared" si="37"/>
        <v>1283.3715000000002</v>
      </c>
      <c r="P345" s="2">
        <f t="shared" si="38"/>
        <v>0.27111774543497946</v>
      </c>
      <c r="Q345" t="str">
        <f t="shared" si="39"/>
        <v>Weekday</v>
      </c>
      <c r="R345" t="str">
        <f t="shared" si="40"/>
        <v>Oct</v>
      </c>
      <c r="S345">
        <f t="shared" si="41"/>
        <v>2024</v>
      </c>
    </row>
    <row r="346" spans="1:19" x14ac:dyDescent="0.25">
      <c r="A346">
        <v>100344</v>
      </c>
      <c r="B346" s="1">
        <v>45133</v>
      </c>
      <c r="C346" t="s">
        <v>13</v>
      </c>
      <c r="D346" t="s">
        <v>218</v>
      </c>
      <c r="E346" t="s">
        <v>260</v>
      </c>
      <c r="F346">
        <v>2</v>
      </c>
      <c r="G346">
        <v>2195.33</v>
      </c>
      <c r="H346">
        <v>0</v>
      </c>
      <c r="I346" t="str">
        <f>IF(Sales[[#This Row],[Discount]]&lt;=10,"0-10%",IF(Sales[[#This Row],[Discount]]&lt;=20,"10-20%","20-30%"))</f>
        <v>0-10%</v>
      </c>
      <c r="J346">
        <v>1023.39</v>
      </c>
      <c r="K346" t="s">
        <v>268</v>
      </c>
      <c r="L346" t="s">
        <v>265</v>
      </c>
      <c r="M346">
        <f t="shared" si="35"/>
        <v>2046.78</v>
      </c>
      <c r="N346">
        <f t="shared" si="36"/>
        <v>4390.66</v>
      </c>
      <c r="O346">
        <f t="shared" si="37"/>
        <v>2343.88</v>
      </c>
      <c r="P346" s="2">
        <f t="shared" si="38"/>
        <v>0.5338331822550596</v>
      </c>
      <c r="Q346" t="str">
        <f t="shared" si="39"/>
        <v>Weekday</v>
      </c>
      <c r="R346" t="str">
        <f t="shared" si="40"/>
        <v>Jul</v>
      </c>
      <c r="S346">
        <f t="shared" si="41"/>
        <v>2023</v>
      </c>
    </row>
    <row r="347" spans="1:19" x14ac:dyDescent="0.25">
      <c r="A347">
        <v>100345</v>
      </c>
      <c r="B347" s="1">
        <v>45085</v>
      </c>
      <c r="C347" t="s">
        <v>22</v>
      </c>
      <c r="D347" t="s">
        <v>89</v>
      </c>
      <c r="E347" t="s">
        <v>254</v>
      </c>
      <c r="F347">
        <v>3</v>
      </c>
      <c r="G347">
        <v>2474.33</v>
      </c>
      <c r="H347">
        <v>0</v>
      </c>
      <c r="I347" t="str">
        <f>IF(Sales[[#This Row],[Discount]]&lt;=10,"0-10%",IF(Sales[[#This Row],[Discount]]&lt;=20,"10-20%","20-30%"))</f>
        <v>0-10%</v>
      </c>
      <c r="J347">
        <v>1634.25</v>
      </c>
      <c r="K347" t="s">
        <v>262</v>
      </c>
      <c r="L347" t="s">
        <v>266</v>
      </c>
      <c r="M347">
        <f t="shared" si="35"/>
        <v>4902.75</v>
      </c>
      <c r="N347">
        <f t="shared" si="36"/>
        <v>7422.99</v>
      </c>
      <c r="O347">
        <f t="shared" si="37"/>
        <v>2520.2399999999998</v>
      </c>
      <c r="P347" s="2">
        <f t="shared" si="38"/>
        <v>0.33951817259621797</v>
      </c>
      <c r="Q347" t="str">
        <f t="shared" si="39"/>
        <v>Weekday</v>
      </c>
      <c r="R347" t="str">
        <f t="shared" si="40"/>
        <v>Jun</v>
      </c>
      <c r="S347">
        <f t="shared" si="41"/>
        <v>2023</v>
      </c>
    </row>
    <row r="348" spans="1:19" x14ac:dyDescent="0.25">
      <c r="A348">
        <v>100346</v>
      </c>
      <c r="B348" s="1">
        <v>45290</v>
      </c>
      <c r="C348" t="s">
        <v>36</v>
      </c>
      <c r="D348" t="s">
        <v>142</v>
      </c>
      <c r="E348" t="s">
        <v>256</v>
      </c>
      <c r="F348">
        <v>1</v>
      </c>
      <c r="G348">
        <v>4277.3500000000004</v>
      </c>
      <c r="H348">
        <v>0</v>
      </c>
      <c r="I348" t="str">
        <f>IF(Sales[[#This Row],[Discount]]&lt;=10,"0-10%",IF(Sales[[#This Row],[Discount]]&lt;=20,"10-20%","20-30%"))</f>
        <v>0-10%</v>
      </c>
      <c r="J348">
        <v>2517.77</v>
      </c>
      <c r="K348" t="s">
        <v>262</v>
      </c>
      <c r="L348" t="s">
        <v>267</v>
      </c>
      <c r="M348">
        <f t="shared" si="35"/>
        <v>2517.77</v>
      </c>
      <c r="N348">
        <f t="shared" si="36"/>
        <v>4277.3500000000004</v>
      </c>
      <c r="O348">
        <f t="shared" si="37"/>
        <v>1759.5800000000004</v>
      </c>
      <c r="P348" s="2">
        <f t="shared" si="38"/>
        <v>0.41137152676306599</v>
      </c>
      <c r="Q348" t="str">
        <f t="shared" si="39"/>
        <v>Weekend</v>
      </c>
      <c r="R348" t="str">
        <f t="shared" si="40"/>
        <v>Dec</v>
      </c>
      <c r="S348">
        <f t="shared" si="41"/>
        <v>2023</v>
      </c>
    </row>
    <row r="349" spans="1:19" x14ac:dyDescent="0.25">
      <c r="A349">
        <v>100347</v>
      </c>
      <c r="B349" s="1">
        <v>45534</v>
      </c>
      <c r="C349" t="s">
        <v>57</v>
      </c>
      <c r="D349" t="s">
        <v>189</v>
      </c>
      <c r="E349" t="s">
        <v>254</v>
      </c>
      <c r="F349">
        <v>4</v>
      </c>
      <c r="G349">
        <v>2672.77</v>
      </c>
      <c r="H349">
        <v>5</v>
      </c>
      <c r="I349" t="str">
        <f>IF(Sales[[#This Row],[Discount]]&lt;=10,"0-10%",IF(Sales[[#This Row],[Discount]]&lt;=20,"10-20%","20-30%"))</f>
        <v>0-10%</v>
      </c>
      <c r="J349">
        <v>1504.74</v>
      </c>
      <c r="K349" t="s">
        <v>262</v>
      </c>
      <c r="L349" t="s">
        <v>264</v>
      </c>
      <c r="M349">
        <f t="shared" si="35"/>
        <v>6018.96</v>
      </c>
      <c r="N349">
        <f t="shared" si="36"/>
        <v>10156.526</v>
      </c>
      <c r="O349">
        <f t="shared" si="37"/>
        <v>4137.5659999999998</v>
      </c>
      <c r="P349" s="2">
        <f t="shared" si="38"/>
        <v>0.40738004313679693</v>
      </c>
      <c r="Q349" t="str">
        <f t="shared" si="39"/>
        <v>Weekday</v>
      </c>
      <c r="R349" t="str">
        <f t="shared" si="40"/>
        <v>Aug</v>
      </c>
      <c r="S349">
        <f t="shared" si="41"/>
        <v>2024</v>
      </c>
    </row>
    <row r="350" spans="1:19" x14ac:dyDescent="0.25">
      <c r="A350">
        <v>100348</v>
      </c>
      <c r="B350" s="1">
        <v>45504</v>
      </c>
      <c r="C350" t="s">
        <v>47</v>
      </c>
      <c r="D350" t="s">
        <v>225</v>
      </c>
      <c r="E350" t="s">
        <v>256</v>
      </c>
      <c r="F350">
        <v>4</v>
      </c>
      <c r="G350">
        <v>438.15</v>
      </c>
      <c r="H350">
        <v>10</v>
      </c>
      <c r="I350" t="str">
        <f>IF(Sales[[#This Row],[Discount]]&lt;=10,"0-10%",IF(Sales[[#This Row],[Discount]]&lt;=20,"10-20%","20-30%"))</f>
        <v>0-10%</v>
      </c>
      <c r="J350">
        <v>227.25</v>
      </c>
      <c r="K350" t="s">
        <v>268</v>
      </c>
      <c r="L350" t="s">
        <v>267</v>
      </c>
      <c r="M350">
        <f t="shared" si="35"/>
        <v>909</v>
      </c>
      <c r="N350">
        <f t="shared" si="36"/>
        <v>1577.34</v>
      </c>
      <c r="O350">
        <f t="shared" si="37"/>
        <v>668.33999999999992</v>
      </c>
      <c r="P350" s="2">
        <f t="shared" si="38"/>
        <v>0.42371334018030354</v>
      </c>
      <c r="Q350" t="str">
        <f t="shared" si="39"/>
        <v>Weekday</v>
      </c>
      <c r="R350" t="str">
        <f t="shared" si="40"/>
        <v>Jul</v>
      </c>
      <c r="S350">
        <f t="shared" si="41"/>
        <v>2024</v>
      </c>
    </row>
    <row r="351" spans="1:19" x14ac:dyDescent="0.25">
      <c r="A351">
        <v>100349</v>
      </c>
      <c r="B351" s="1">
        <v>45297</v>
      </c>
      <c r="C351" t="s">
        <v>40</v>
      </c>
      <c r="D351" t="s">
        <v>89</v>
      </c>
      <c r="E351" t="s">
        <v>260</v>
      </c>
      <c r="F351">
        <v>2</v>
      </c>
      <c r="G351">
        <v>4026.89</v>
      </c>
      <c r="H351">
        <v>0</v>
      </c>
      <c r="I351" t="str">
        <f>IF(Sales[[#This Row],[Discount]]&lt;=10,"0-10%",IF(Sales[[#This Row],[Discount]]&lt;=20,"10-20%","20-30%"))</f>
        <v>0-10%</v>
      </c>
      <c r="J351">
        <v>2402.0500000000002</v>
      </c>
      <c r="K351" t="s">
        <v>268</v>
      </c>
      <c r="L351" t="s">
        <v>263</v>
      </c>
      <c r="M351">
        <f t="shared" si="35"/>
        <v>4804.1000000000004</v>
      </c>
      <c r="N351">
        <f t="shared" si="36"/>
        <v>8053.78</v>
      </c>
      <c r="O351">
        <f t="shared" si="37"/>
        <v>3249.6799999999994</v>
      </c>
      <c r="P351" s="2">
        <f t="shared" si="38"/>
        <v>0.40349748813600561</v>
      </c>
      <c r="Q351" t="str">
        <f t="shared" si="39"/>
        <v>Weekend</v>
      </c>
      <c r="R351" t="str">
        <f t="shared" si="40"/>
        <v>Jan</v>
      </c>
      <c r="S351">
        <f t="shared" si="41"/>
        <v>2024</v>
      </c>
    </row>
    <row r="352" spans="1:19" x14ac:dyDescent="0.25">
      <c r="A352">
        <v>100350</v>
      </c>
      <c r="B352" s="1">
        <v>45456</v>
      </c>
      <c r="C352" t="s">
        <v>32</v>
      </c>
      <c r="D352" t="s">
        <v>185</v>
      </c>
      <c r="E352" t="s">
        <v>258</v>
      </c>
      <c r="F352">
        <v>2</v>
      </c>
      <c r="G352">
        <v>1988.01</v>
      </c>
      <c r="H352">
        <v>25</v>
      </c>
      <c r="I352" t="str">
        <f>IF(Sales[[#This Row],[Discount]]&lt;=10,"0-10%",IF(Sales[[#This Row],[Discount]]&lt;=20,"10-20%","20-30%"))</f>
        <v>20-30%</v>
      </c>
      <c r="J352">
        <v>1024.1300000000001</v>
      </c>
      <c r="K352" t="s">
        <v>261</v>
      </c>
      <c r="L352" t="s">
        <v>267</v>
      </c>
      <c r="M352">
        <f t="shared" si="35"/>
        <v>2048.2600000000002</v>
      </c>
      <c r="N352">
        <f t="shared" si="36"/>
        <v>2982.0149999999999</v>
      </c>
      <c r="O352">
        <f t="shared" si="37"/>
        <v>933.75499999999965</v>
      </c>
      <c r="P352" s="2">
        <f t="shared" si="38"/>
        <v>0.31312887426790265</v>
      </c>
      <c r="Q352" t="str">
        <f t="shared" si="39"/>
        <v>Weekday</v>
      </c>
      <c r="R352" t="str">
        <f t="shared" si="40"/>
        <v>Jun</v>
      </c>
      <c r="S352">
        <f t="shared" si="41"/>
        <v>2024</v>
      </c>
    </row>
    <row r="353" spans="1:19" x14ac:dyDescent="0.25">
      <c r="A353">
        <v>100351</v>
      </c>
      <c r="B353" s="1">
        <v>45446</v>
      </c>
      <c r="C353" t="s">
        <v>28</v>
      </c>
      <c r="D353" t="s">
        <v>226</v>
      </c>
      <c r="E353" t="s">
        <v>260</v>
      </c>
      <c r="F353">
        <v>1</v>
      </c>
      <c r="G353">
        <v>3745.63</v>
      </c>
      <c r="H353">
        <v>25</v>
      </c>
      <c r="I353" t="str">
        <f>IF(Sales[[#This Row],[Discount]]&lt;=10,"0-10%",IF(Sales[[#This Row],[Discount]]&lt;=20,"10-20%","20-30%"))</f>
        <v>20-30%</v>
      </c>
      <c r="J353">
        <v>1646.09</v>
      </c>
      <c r="K353" t="s">
        <v>262</v>
      </c>
      <c r="L353" t="s">
        <v>266</v>
      </c>
      <c r="M353">
        <f t="shared" si="35"/>
        <v>1646.09</v>
      </c>
      <c r="N353">
        <f t="shared" si="36"/>
        <v>2809.2224999999999</v>
      </c>
      <c r="O353">
        <f t="shared" si="37"/>
        <v>1163.1324999999999</v>
      </c>
      <c r="P353" s="2">
        <f t="shared" si="38"/>
        <v>0.4140407176718825</v>
      </c>
      <c r="Q353" t="str">
        <f t="shared" si="39"/>
        <v>Weekday</v>
      </c>
      <c r="R353" t="str">
        <f t="shared" si="40"/>
        <v>Jun</v>
      </c>
      <c r="S353">
        <f t="shared" si="41"/>
        <v>2024</v>
      </c>
    </row>
    <row r="354" spans="1:19" x14ac:dyDescent="0.25">
      <c r="A354">
        <v>100352</v>
      </c>
      <c r="B354" s="1">
        <v>45452</v>
      </c>
      <c r="C354" t="s">
        <v>57</v>
      </c>
      <c r="D354" t="s">
        <v>194</v>
      </c>
      <c r="E354" t="s">
        <v>259</v>
      </c>
      <c r="F354">
        <v>4</v>
      </c>
      <c r="G354">
        <v>3128.72</v>
      </c>
      <c r="H354">
        <v>5</v>
      </c>
      <c r="I354" t="str">
        <f>IF(Sales[[#This Row],[Discount]]&lt;=10,"0-10%",IF(Sales[[#This Row],[Discount]]&lt;=20,"10-20%","20-30%"))</f>
        <v>0-10%</v>
      </c>
      <c r="J354">
        <v>1845.2</v>
      </c>
      <c r="K354" t="s">
        <v>268</v>
      </c>
      <c r="L354" t="s">
        <v>267</v>
      </c>
      <c r="M354">
        <f t="shared" si="35"/>
        <v>7380.8</v>
      </c>
      <c r="N354">
        <f t="shared" si="36"/>
        <v>11889.135999999999</v>
      </c>
      <c r="O354">
        <f t="shared" si="37"/>
        <v>4508.3359999999984</v>
      </c>
      <c r="P354" s="2">
        <f t="shared" si="38"/>
        <v>0.37919795012858787</v>
      </c>
      <c r="Q354" t="str">
        <f t="shared" si="39"/>
        <v>Weekend</v>
      </c>
      <c r="R354" t="str">
        <f t="shared" si="40"/>
        <v>Jun</v>
      </c>
      <c r="S354">
        <f t="shared" si="41"/>
        <v>2024</v>
      </c>
    </row>
    <row r="355" spans="1:19" x14ac:dyDescent="0.25">
      <c r="A355">
        <v>100353</v>
      </c>
      <c r="B355" s="1">
        <v>45479</v>
      </c>
      <c r="C355" t="s">
        <v>46</v>
      </c>
      <c r="D355" t="s">
        <v>227</v>
      </c>
      <c r="E355" t="s">
        <v>254</v>
      </c>
      <c r="F355">
        <v>2</v>
      </c>
      <c r="G355">
        <v>1150.5899999999999</v>
      </c>
      <c r="H355">
        <v>20</v>
      </c>
      <c r="I355" t="str">
        <f>IF(Sales[[#This Row],[Discount]]&lt;=10,"0-10%",IF(Sales[[#This Row],[Discount]]&lt;=20,"10-20%","20-30%"))</f>
        <v>10-20%</v>
      </c>
      <c r="J355">
        <v>755.15</v>
      </c>
      <c r="K355" t="s">
        <v>268</v>
      </c>
      <c r="L355" t="s">
        <v>264</v>
      </c>
      <c r="M355">
        <f t="shared" si="35"/>
        <v>1510.3</v>
      </c>
      <c r="N355">
        <f t="shared" si="36"/>
        <v>1840.944</v>
      </c>
      <c r="O355">
        <f t="shared" si="37"/>
        <v>330.64400000000001</v>
      </c>
      <c r="P355" s="2">
        <f t="shared" si="38"/>
        <v>0.17960568056388462</v>
      </c>
      <c r="Q355" t="str">
        <f t="shared" si="39"/>
        <v>Weekend</v>
      </c>
      <c r="R355" t="str">
        <f t="shared" si="40"/>
        <v>Jul</v>
      </c>
      <c r="S355">
        <f t="shared" si="41"/>
        <v>2024</v>
      </c>
    </row>
    <row r="356" spans="1:19" x14ac:dyDescent="0.25">
      <c r="A356">
        <v>100354</v>
      </c>
      <c r="B356" s="1">
        <v>45430</v>
      </c>
      <c r="C356" t="s">
        <v>57</v>
      </c>
      <c r="D356" t="s">
        <v>127</v>
      </c>
      <c r="E356" t="s">
        <v>259</v>
      </c>
      <c r="F356">
        <v>2</v>
      </c>
      <c r="G356">
        <v>4392.5200000000004</v>
      </c>
      <c r="H356">
        <v>10</v>
      </c>
      <c r="I356" t="str">
        <f>IF(Sales[[#This Row],[Discount]]&lt;=10,"0-10%",IF(Sales[[#This Row],[Discount]]&lt;=20,"10-20%","20-30%"))</f>
        <v>0-10%</v>
      </c>
      <c r="J356">
        <v>2343.81</v>
      </c>
      <c r="K356" t="s">
        <v>268</v>
      </c>
      <c r="L356" t="s">
        <v>263</v>
      </c>
      <c r="M356">
        <f t="shared" si="35"/>
        <v>4687.62</v>
      </c>
      <c r="N356">
        <f t="shared" si="36"/>
        <v>7906.536000000001</v>
      </c>
      <c r="O356">
        <f t="shared" si="37"/>
        <v>3218.9160000000011</v>
      </c>
      <c r="P356" s="2">
        <f t="shared" si="38"/>
        <v>0.4071208933975638</v>
      </c>
      <c r="Q356" t="str">
        <f t="shared" si="39"/>
        <v>Weekend</v>
      </c>
      <c r="R356" t="str">
        <f t="shared" si="40"/>
        <v>May</v>
      </c>
      <c r="S356">
        <f t="shared" si="41"/>
        <v>2024</v>
      </c>
    </row>
    <row r="357" spans="1:19" x14ac:dyDescent="0.25">
      <c r="A357">
        <v>100355</v>
      </c>
      <c r="B357" s="1">
        <v>44954</v>
      </c>
      <c r="C357" t="s">
        <v>58</v>
      </c>
      <c r="D357" t="s">
        <v>170</v>
      </c>
      <c r="E357" t="s">
        <v>254</v>
      </c>
      <c r="F357">
        <v>2</v>
      </c>
      <c r="G357">
        <v>747.73</v>
      </c>
      <c r="H357">
        <v>25</v>
      </c>
      <c r="I357" t="str">
        <f>IF(Sales[[#This Row],[Discount]]&lt;=10,"0-10%",IF(Sales[[#This Row],[Discount]]&lt;=20,"10-20%","20-30%"))</f>
        <v>20-30%</v>
      </c>
      <c r="J357">
        <v>445.38</v>
      </c>
      <c r="K357" t="s">
        <v>268</v>
      </c>
      <c r="L357" t="s">
        <v>267</v>
      </c>
      <c r="M357">
        <f t="shared" si="35"/>
        <v>890.76</v>
      </c>
      <c r="N357">
        <f t="shared" si="36"/>
        <v>1121.595</v>
      </c>
      <c r="O357">
        <f t="shared" si="37"/>
        <v>230.83500000000004</v>
      </c>
      <c r="P357" s="2">
        <f t="shared" si="38"/>
        <v>0.20580958367325106</v>
      </c>
      <c r="Q357" t="str">
        <f t="shared" si="39"/>
        <v>Weekend</v>
      </c>
      <c r="R357" t="str">
        <f t="shared" si="40"/>
        <v>Jan</v>
      </c>
      <c r="S357">
        <f t="shared" si="41"/>
        <v>2023</v>
      </c>
    </row>
    <row r="358" spans="1:19" x14ac:dyDescent="0.25">
      <c r="A358">
        <v>100356</v>
      </c>
      <c r="B358" s="1">
        <v>45350</v>
      </c>
      <c r="C358" t="s">
        <v>20</v>
      </c>
      <c r="D358" t="s">
        <v>92</v>
      </c>
      <c r="E358" t="s">
        <v>254</v>
      </c>
      <c r="F358">
        <v>3</v>
      </c>
      <c r="G358">
        <v>3386.66</v>
      </c>
      <c r="H358">
        <v>10</v>
      </c>
      <c r="I358" t="str">
        <f>IF(Sales[[#This Row],[Discount]]&lt;=10,"0-10%",IF(Sales[[#This Row],[Discount]]&lt;=20,"10-20%","20-30%"))</f>
        <v>0-10%</v>
      </c>
      <c r="J358">
        <v>1685.06</v>
      </c>
      <c r="K358" t="s">
        <v>262</v>
      </c>
      <c r="L358" t="s">
        <v>266</v>
      </c>
      <c r="M358">
        <f t="shared" si="35"/>
        <v>5055.18</v>
      </c>
      <c r="N358">
        <f t="shared" si="36"/>
        <v>9143.982</v>
      </c>
      <c r="O358">
        <f t="shared" si="37"/>
        <v>4088.8019999999997</v>
      </c>
      <c r="P358" s="2">
        <f t="shared" si="38"/>
        <v>0.44715770437868313</v>
      </c>
      <c r="Q358" t="str">
        <f t="shared" si="39"/>
        <v>Weekday</v>
      </c>
      <c r="R358" t="str">
        <f t="shared" si="40"/>
        <v>Feb</v>
      </c>
      <c r="S358">
        <f t="shared" si="41"/>
        <v>2024</v>
      </c>
    </row>
    <row r="359" spans="1:19" x14ac:dyDescent="0.25">
      <c r="A359">
        <v>100357</v>
      </c>
      <c r="B359" s="1">
        <v>45321</v>
      </c>
      <c r="C359" t="s">
        <v>49</v>
      </c>
      <c r="D359" t="s">
        <v>228</v>
      </c>
      <c r="E359" t="s">
        <v>257</v>
      </c>
      <c r="F359">
        <v>4</v>
      </c>
      <c r="G359">
        <v>4858.16</v>
      </c>
      <c r="H359">
        <v>30</v>
      </c>
      <c r="I359" t="str">
        <f>IF(Sales[[#This Row],[Discount]]&lt;=10,"0-10%",IF(Sales[[#This Row],[Discount]]&lt;=20,"10-20%","20-30%"))</f>
        <v>20-30%</v>
      </c>
      <c r="J359">
        <v>2604.64</v>
      </c>
      <c r="K359" t="s">
        <v>261</v>
      </c>
      <c r="L359" t="s">
        <v>263</v>
      </c>
      <c r="M359">
        <f t="shared" si="35"/>
        <v>10418.56</v>
      </c>
      <c r="N359">
        <f t="shared" si="36"/>
        <v>13602.847999999998</v>
      </c>
      <c r="O359">
        <f t="shared" si="37"/>
        <v>3184.2879999999986</v>
      </c>
      <c r="P359" s="2">
        <f t="shared" si="38"/>
        <v>0.23408980237079757</v>
      </c>
      <c r="Q359" t="str">
        <f t="shared" si="39"/>
        <v>Weekday</v>
      </c>
      <c r="R359" t="str">
        <f t="shared" si="40"/>
        <v>Jan</v>
      </c>
      <c r="S359">
        <f t="shared" si="41"/>
        <v>2024</v>
      </c>
    </row>
    <row r="360" spans="1:19" x14ac:dyDescent="0.25">
      <c r="A360">
        <v>100358</v>
      </c>
      <c r="B360" s="1">
        <v>45531</v>
      </c>
      <c r="C360" t="s">
        <v>49</v>
      </c>
      <c r="D360" t="s">
        <v>228</v>
      </c>
      <c r="E360" t="s">
        <v>254</v>
      </c>
      <c r="F360">
        <v>3</v>
      </c>
      <c r="G360">
        <v>2377.5100000000002</v>
      </c>
      <c r="H360">
        <v>5</v>
      </c>
      <c r="I360" t="str">
        <f>IF(Sales[[#This Row],[Discount]]&lt;=10,"0-10%",IF(Sales[[#This Row],[Discount]]&lt;=20,"10-20%","20-30%"))</f>
        <v>0-10%</v>
      </c>
      <c r="J360">
        <v>1187.01</v>
      </c>
      <c r="K360" t="s">
        <v>261</v>
      </c>
      <c r="L360" t="s">
        <v>264</v>
      </c>
      <c r="M360">
        <f t="shared" si="35"/>
        <v>3561.0299999999997</v>
      </c>
      <c r="N360">
        <f t="shared" si="36"/>
        <v>6775.9035000000003</v>
      </c>
      <c r="O360">
        <f t="shared" si="37"/>
        <v>3214.8735000000006</v>
      </c>
      <c r="P360" s="2">
        <f t="shared" si="38"/>
        <v>0.47445680122215445</v>
      </c>
      <c r="Q360" t="str">
        <f t="shared" si="39"/>
        <v>Weekday</v>
      </c>
      <c r="R360" t="str">
        <f t="shared" si="40"/>
        <v>Aug</v>
      </c>
      <c r="S360">
        <f t="shared" si="41"/>
        <v>2024</v>
      </c>
    </row>
    <row r="361" spans="1:19" x14ac:dyDescent="0.25">
      <c r="A361">
        <v>100359</v>
      </c>
      <c r="B361" s="1">
        <v>45202</v>
      </c>
      <c r="C361" t="s">
        <v>11</v>
      </c>
      <c r="D361" t="s">
        <v>118</v>
      </c>
      <c r="E361" t="s">
        <v>258</v>
      </c>
      <c r="F361">
        <v>4</v>
      </c>
      <c r="G361">
        <v>4195.75</v>
      </c>
      <c r="H361">
        <v>25</v>
      </c>
      <c r="I361" t="str">
        <f>IF(Sales[[#This Row],[Discount]]&lt;=10,"0-10%",IF(Sales[[#This Row],[Discount]]&lt;=20,"10-20%","20-30%"))</f>
        <v>20-30%</v>
      </c>
      <c r="J361">
        <v>2220.67</v>
      </c>
      <c r="K361" t="s">
        <v>261</v>
      </c>
      <c r="L361" t="s">
        <v>263</v>
      </c>
      <c r="M361">
        <f t="shared" si="35"/>
        <v>8882.68</v>
      </c>
      <c r="N361">
        <f t="shared" si="36"/>
        <v>12587.25</v>
      </c>
      <c r="O361">
        <f t="shared" si="37"/>
        <v>3704.5699999999997</v>
      </c>
      <c r="P361" s="2">
        <f t="shared" si="38"/>
        <v>0.2943113070766053</v>
      </c>
      <c r="Q361" t="str">
        <f t="shared" si="39"/>
        <v>Weekday</v>
      </c>
      <c r="R361" t="str">
        <f t="shared" si="40"/>
        <v>Oct</v>
      </c>
      <c r="S361">
        <f t="shared" si="41"/>
        <v>2023</v>
      </c>
    </row>
    <row r="362" spans="1:19" x14ac:dyDescent="0.25">
      <c r="A362">
        <v>100360</v>
      </c>
      <c r="B362" s="1">
        <v>45210</v>
      </c>
      <c r="C362" t="s">
        <v>57</v>
      </c>
      <c r="D362" t="s">
        <v>229</v>
      </c>
      <c r="E362" t="s">
        <v>257</v>
      </c>
      <c r="F362">
        <v>3</v>
      </c>
      <c r="G362">
        <v>4758.34</v>
      </c>
      <c r="H362">
        <v>15</v>
      </c>
      <c r="I362" t="str">
        <f>IF(Sales[[#This Row],[Discount]]&lt;=10,"0-10%",IF(Sales[[#This Row],[Discount]]&lt;=20,"10-20%","20-30%"))</f>
        <v>10-20%</v>
      </c>
      <c r="J362">
        <v>2263.8200000000002</v>
      </c>
      <c r="K362" t="s">
        <v>261</v>
      </c>
      <c r="L362" t="s">
        <v>263</v>
      </c>
      <c r="M362">
        <f t="shared" si="35"/>
        <v>6791.4600000000009</v>
      </c>
      <c r="N362">
        <f t="shared" si="36"/>
        <v>12133.767</v>
      </c>
      <c r="O362">
        <f t="shared" si="37"/>
        <v>5342.3069999999989</v>
      </c>
      <c r="P362" s="2">
        <f t="shared" si="38"/>
        <v>0.44028429093784305</v>
      </c>
      <c r="Q362" t="str">
        <f t="shared" si="39"/>
        <v>Weekday</v>
      </c>
      <c r="R362" t="str">
        <f t="shared" si="40"/>
        <v>Oct</v>
      </c>
      <c r="S362">
        <f t="shared" si="41"/>
        <v>2023</v>
      </c>
    </row>
    <row r="363" spans="1:19" x14ac:dyDescent="0.25">
      <c r="A363">
        <v>100361</v>
      </c>
      <c r="B363" s="1">
        <v>45091</v>
      </c>
      <c r="C363" t="s">
        <v>12</v>
      </c>
      <c r="D363" t="s">
        <v>220</v>
      </c>
      <c r="E363" t="s">
        <v>256</v>
      </c>
      <c r="F363">
        <v>3</v>
      </c>
      <c r="G363">
        <v>3761.09</v>
      </c>
      <c r="H363">
        <v>15</v>
      </c>
      <c r="I363" t="str">
        <f>IF(Sales[[#This Row],[Discount]]&lt;=10,"0-10%",IF(Sales[[#This Row],[Discount]]&lt;=20,"10-20%","20-30%"))</f>
        <v>10-20%</v>
      </c>
      <c r="J363">
        <v>2253.42</v>
      </c>
      <c r="K363" t="s">
        <v>262</v>
      </c>
      <c r="L363" t="s">
        <v>266</v>
      </c>
      <c r="M363">
        <f t="shared" si="35"/>
        <v>6760.26</v>
      </c>
      <c r="N363">
        <f t="shared" si="36"/>
        <v>9590.7795000000006</v>
      </c>
      <c r="O363">
        <f t="shared" si="37"/>
        <v>2830.5195000000003</v>
      </c>
      <c r="P363" s="2">
        <f t="shared" si="38"/>
        <v>0.29512924366575211</v>
      </c>
      <c r="Q363" t="str">
        <f t="shared" si="39"/>
        <v>Weekday</v>
      </c>
      <c r="R363" t="str">
        <f t="shared" si="40"/>
        <v>Jun</v>
      </c>
      <c r="S363">
        <f t="shared" si="41"/>
        <v>2023</v>
      </c>
    </row>
    <row r="364" spans="1:19" x14ac:dyDescent="0.25">
      <c r="A364">
        <v>100362</v>
      </c>
      <c r="B364" s="1">
        <v>45293</v>
      </c>
      <c r="C364" t="s">
        <v>36</v>
      </c>
      <c r="D364" t="s">
        <v>144</v>
      </c>
      <c r="E364" t="s">
        <v>257</v>
      </c>
      <c r="F364">
        <v>1</v>
      </c>
      <c r="G364">
        <v>3615.31</v>
      </c>
      <c r="H364">
        <v>5</v>
      </c>
      <c r="I364" t="str">
        <f>IF(Sales[[#This Row],[Discount]]&lt;=10,"0-10%",IF(Sales[[#This Row],[Discount]]&lt;=20,"10-20%","20-30%"))</f>
        <v>0-10%</v>
      </c>
      <c r="J364">
        <v>1930.25</v>
      </c>
      <c r="K364" t="s">
        <v>268</v>
      </c>
      <c r="L364" t="s">
        <v>264</v>
      </c>
      <c r="M364">
        <f t="shared" si="35"/>
        <v>1930.25</v>
      </c>
      <c r="N364">
        <f t="shared" si="36"/>
        <v>3434.5445</v>
      </c>
      <c r="O364">
        <f t="shared" si="37"/>
        <v>1504.2945</v>
      </c>
      <c r="P364" s="2">
        <f t="shared" si="38"/>
        <v>0.43798952088115323</v>
      </c>
      <c r="Q364" t="str">
        <f t="shared" si="39"/>
        <v>Weekday</v>
      </c>
      <c r="R364" t="str">
        <f t="shared" si="40"/>
        <v>Jan</v>
      </c>
      <c r="S364">
        <f t="shared" si="41"/>
        <v>2024</v>
      </c>
    </row>
    <row r="365" spans="1:19" x14ac:dyDescent="0.25">
      <c r="A365">
        <v>100363</v>
      </c>
      <c r="B365" s="1">
        <v>45260</v>
      </c>
      <c r="C365" t="s">
        <v>23</v>
      </c>
      <c r="D365" t="s">
        <v>111</v>
      </c>
      <c r="E365" t="s">
        <v>258</v>
      </c>
      <c r="F365">
        <v>4</v>
      </c>
      <c r="G365">
        <v>2837.56</v>
      </c>
      <c r="H365">
        <v>0</v>
      </c>
      <c r="I365" t="str">
        <f>IF(Sales[[#This Row],[Discount]]&lt;=10,"0-10%",IF(Sales[[#This Row],[Discount]]&lt;=20,"10-20%","20-30%"))</f>
        <v>0-10%</v>
      </c>
      <c r="J365">
        <v>1164.1300000000001</v>
      </c>
      <c r="K365" t="s">
        <v>268</v>
      </c>
      <c r="L365" t="s">
        <v>263</v>
      </c>
      <c r="M365">
        <f t="shared" si="35"/>
        <v>4656.5200000000004</v>
      </c>
      <c r="N365">
        <f t="shared" si="36"/>
        <v>11350.24</v>
      </c>
      <c r="O365">
        <f t="shared" si="37"/>
        <v>6693.7199999999993</v>
      </c>
      <c r="P365" s="2">
        <f t="shared" si="38"/>
        <v>0.58974259575127919</v>
      </c>
      <c r="Q365" t="str">
        <f t="shared" si="39"/>
        <v>Weekday</v>
      </c>
      <c r="R365" t="str">
        <f t="shared" si="40"/>
        <v>Nov</v>
      </c>
      <c r="S365">
        <f t="shared" si="41"/>
        <v>2023</v>
      </c>
    </row>
    <row r="366" spans="1:19" x14ac:dyDescent="0.25">
      <c r="A366">
        <v>100364</v>
      </c>
      <c r="B366" s="1">
        <v>44927</v>
      </c>
      <c r="C366" t="s">
        <v>37</v>
      </c>
      <c r="D366" t="s">
        <v>230</v>
      </c>
      <c r="E366" t="s">
        <v>256</v>
      </c>
      <c r="F366">
        <v>1</v>
      </c>
      <c r="G366">
        <v>2796.5</v>
      </c>
      <c r="H366">
        <v>30</v>
      </c>
      <c r="I366" t="str">
        <f>IF(Sales[[#This Row],[Discount]]&lt;=10,"0-10%",IF(Sales[[#This Row],[Discount]]&lt;=20,"10-20%","20-30%"))</f>
        <v>20-30%</v>
      </c>
      <c r="J366">
        <v>1904.37</v>
      </c>
      <c r="K366" t="s">
        <v>262</v>
      </c>
      <c r="L366" t="s">
        <v>264</v>
      </c>
      <c r="M366">
        <f t="shared" si="35"/>
        <v>1904.37</v>
      </c>
      <c r="N366">
        <f t="shared" si="36"/>
        <v>1957.55</v>
      </c>
      <c r="O366">
        <f t="shared" si="37"/>
        <v>53.180000000000064</v>
      </c>
      <c r="P366" s="2">
        <f t="shared" si="38"/>
        <v>2.716661132538125E-2</v>
      </c>
      <c r="Q366" t="str">
        <f t="shared" si="39"/>
        <v>Weekend</v>
      </c>
      <c r="R366" t="str">
        <f t="shared" si="40"/>
        <v>Jan</v>
      </c>
      <c r="S366">
        <f t="shared" si="41"/>
        <v>2023</v>
      </c>
    </row>
    <row r="367" spans="1:19" x14ac:dyDescent="0.25">
      <c r="A367">
        <v>100365</v>
      </c>
      <c r="B367" s="1">
        <v>45087</v>
      </c>
      <c r="C367" t="s">
        <v>50</v>
      </c>
      <c r="D367" t="s">
        <v>190</v>
      </c>
      <c r="E367" t="s">
        <v>255</v>
      </c>
      <c r="F367">
        <v>3</v>
      </c>
      <c r="G367">
        <v>2425.34</v>
      </c>
      <c r="H367">
        <v>10</v>
      </c>
      <c r="I367" t="str">
        <f>IF(Sales[[#This Row],[Discount]]&lt;=10,"0-10%",IF(Sales[[#This Row],[Discount]]&lt;=20,"10-20%","20-30%"))</f>
        <v>0-10%</v>
      </c>
      <c r="J367">
        <v>1649.63</v>
      </c>
      <c r="K367" t="s">
        <v>262</v>
      </c>
      <c r="L367" t="s">
        <v>267</v>
      </c>
      <c r="M367">
        <f t="shared" si="35"/>
        <v>4948.8900000000003</v>
      </c>
      <c r="N367">
        <f t="shared" si="36"/>
        <v>6548.4180000000006</v>
      </c>
      <c r="O367">
        <f t="shared" si="37"/>
        <v>1599.5280000000002</v>
      </c>
      <c r="P367" s="2">
        <f t="shared" si="38"/>
        <v>0.24426174382881485</v>
      </c>
      <c r="Q367" t="str">
        <f t="shared" si="39"/>
        <v>Weekend</v>
      </c>
      <c r="R367" t="str">
        <f t="shared" si="40"/>
        <v>Jun</v>
      </c>
      <c r="S367">
        <f t="shared" si="41"/>
        <v>2023</v>
      </c>
    </row>
    <row r="368" spans="1:19" x14ac:dyDescent="0.25">
      <c r="A368">
        <v>100366</v>
      </c>
      <c r="B368" s="1">
        <v>45168</v>
      </c>
      <c r="C368" t="s">
        <v>28</v>
      </c>
      <c r="D368" t="s">
        <v>231</v>
      </c>
      <c r="E368" t="s">
        <v>254</v>
      </c>
      <c r="F368">
        <v>2</v>
      </c>
      <c r="G368">
        <v>3534.58</v>
      </c>
      <c r="H368">
        <v>25</v>
      </c>
      <c r="I368" t="str">
        <f>IF(Sales[[#This Row],[Discount]]&lt;=10,"0-10%",IF(Sales[[#This Row],[Discount]]&lt;=20,"10-20%","20-30%"))</f>
        <v>20-30%</v>
      </c>
      <c r="J368">
        <v>1835.2</v>
      </c>
      <c r="K368" t="s">
        <v>262</v>
      </c>
      <c r="L368" t="s">
        <v>267</v>
      </c>
      <c r="M368">
        <f t="shared" si="35"/>
        <v>3670.4</v>
      </c>
      <c r="N368">
        <f t="shared" si="36"/>
        <v>5301.87</v>
      </c>
      <c r="O368">
        <f t="shared" si="37"/>
        <v>1631.4699999999998</v>
      </c>
      <c r="P368" s="2">
        <f t="shared" si="38"/>
        <v>0.30771595682278136</v>
      </c>
      <c r="Q368" t="str">
        <f t="shared" si="39"/>
        <v>Weekday</v>
      </c>
      <c r="R368" t="str">
        <f t="shared" si="40"/>
        <v>Aug</v>
      </c>
      <c r="S368">
        <f t="shared" si="41"/>
        <v>2023</v>
      </c>
    </row>
    <row r="369" spans="1:19" x14ac:dyDescent="0.25">
      <c r="A369">
        <v>100367</v>
      </c>
      <c r="B369" s="1">
        <v>45111</v>
      </c>
      <c r="C369" t="s">
        <v>17</v>
      </c>
      <c r="D369" t="s">
        <v>96</v>
      </c>
      <c r="E369" t="s">
        <v>254</v>
      </c>
      <c r="F369">
        <v>2</v>
      </c>
      <c r="G369">
        <v>4773.5200000000004</v>
      </c>
      <c r="H369">
        <v>20</v>
      </c>
      <c r="I369" t="str">
        <f>IF(Sales[[#This Row],[Discount]]&lt;=10,"0-10%",IF(Sales[[#This Row],[Discount]]&lt;=20,"10-20%","20-30%"))</f>
        <v>10-20%</v>
      </c>
      <c r="J369">
        <v>2824.66</v>
      </c>
      <c r="K369" t="s">
        <v>261</v>
      </c>
      <c r="L369" t="s">
        <v>263</v>
      </c>
      <c r="M369">
        <f t="shared" si="35"/>
        <v>5649.32</v>
      </c>
      <c r="N369">
        <f t="shared" si="36"/>
        <v>7637.6320000000014</v>
      </c>
      <c r="O369">
        <f t="shared" si="37"/>
        <v>1988.3120000000017</v>
      </c>
      <c r="P369" s="2">
        <f t="shared" si="38"/>
        <v>0.26033095074494311</v>
      </c>
      <c r="Q369" t="str">
        <f t="shared" si="39"/>
        <v>Weekday</v>
      </c>
      <c r="R369" t="str">
        <f t="shared" si="40"/>
        <v>Jul</v>
      </c>
      <c r="S369">
        <f t="shared" si="41"/>
        <v>2023</v>
      </c>
    </row>
    <row r="370" spans="1:19" x14ac:dyDescent="0.25">
      <c r="A370">
        <v>100368</v>
      </c>
      <c r="B370" s="1">
        <v>45354</v>
      </c>
      <c r="C370" t="s">
        <v>58</v>
      </c>
      <c r="D370" t="s">
        <v>165</v>
      </c>
      <c r="E370" t="s">
        <v>257</v>
      </c>
      <c r="F370">
        <v>3</v>
      </c>
      <c r="G370">
        <v>1494.86</v>
      </c>
      <c r="H370">
        <v>15</v>
      </c>
      <c r="I370" t="str">
        <f>IF(Sales[[#This Row],[Discount]]&lt;=10,"0-10%",IF(Sales[[#This Row],[Discount]]&lt;=20,"10-20%","20-30%"))</f>
        <v>10-20%</v>
      </c>
      <c r="J370">
        <v>831.92</v>
      </c>
      <c r="K370" t="s">
        <v>261</v>
      </c>
      <c r="L370" t="s">
        <v>263</v>
      </c>
      <c r="M370">
        <f t="shared" si="35"/>
        <v>2495.7599999999998</v>
      </c>
      <c r="N370">
        <f t="shared" si="36"/>
        <v>3811.893</v>
      </c>
      <c r="O370">
        <f t="shared" si="37"/>
        <v>1316.1330000000003</v>
      </c>
      <c r="P370" s="2">
        <f t="shared" si="38"/>
        <v>0.34527018465628501</v>
      </c>
      <c r="Q370" t="str">
        <f t="shared" si="39"/>
        <v>Weekend</v>
      </c>
      <c r="R370" t="str">
        <f t="shared" si="40"/>
        <v>Mar</v>
      </c>
      <c r="S370">
        <f t="shared" si="41"/>
        <v>2024</v>
      </c>
    </row>
    <row r="371" spans="1:19" x14ac:dyDescent="0.25">
      <c r="A371">
        <v>100369</v>
      </c>
      <c r="B371" s="1">
        <v>45234</v>
      </c>
      <c r="C371" t="s">
        <v>28</v>
      </c>
      <c r="D371" t="s">
        <v>145</v>
      </c>
      <c r="E371" t="s">
        <v>260</v>
      </c>
      <c r="F371">
        <v>4</v>
      </c>
      <c r="G371">
        <v>890.99</v>
      </c>
      <c r="H371">
        <v>25</v>
      </c>
      <c r="I371" t="str">
        <f>IF(Sales[[#This Row],[Discount]]&lt;=10,"0-10%",IF(Sales[[#This Row],[Discount]]&lt;=20,"10-20%","20-30%"))</f>
        <v>20-30%</v>
      </c>
      <c r="J371">
        <v>391.87</v>
      </c>
      <c r="K371" t="s">
        <v>261</v>
      </c>
      <c r="L371" t="s">
        <v>267</v>
      </c>
      <c r="M371">
        <f t="shared" si="35"/>
        <v>1567.48</v>
      </c>
      <c r="N371">
        <f t="shared" si="36"/>
        <v>2672.9700000000003</v>
      </c>
      <c r="O371">
        <f t="shared" si="37"/>
        <v>1105.4900000000002</v>
      </c>
      <c r="P371" s="2">
        <f t="shared" si="38"/>
        <v>0.41358114756244929</v>
      </c>
      <c r="Q371" t="str">
        <f t="shared" si="39"/>
        <v>Weekend</v>
      </c>
      <c r="R371" t="str">
        <f t="shared" si="40"/>
        <v>Nov</v>
      </c>
      <c r="S371">
        <f t="shared" si="41"/>
        <v>2023</v>
      </c>
    </row>
    <row r="372" spans="1:19" x14ac:dyDescent="0.25">
      <c r="A372">
        <v>100370</v>
      </c>
      <c r="B372" s="1">
        <v>45267</v>
      </c>
      <c r="C372" t="s">
        <v>34</v>
      </c>
      <c r="D372" t="s">
        <v>86</v>
      </c>
      <c r="E372" t="s">
        <v>255</v>
      </c>
      <c r="F372">
        <v>2</v>
      </c>
      <c r="G372">
        <v>1248.71</v>
      </c>
      <c r="H372">
        <v>20</v>
      </c>
      <c r="I372" t="str">
        <f>IF(Sales[[#This Row],[Discount]]&lt;=10,"0-10%",IF(Sales[[#This Row],[Discount]]&lt;=20,"10-20%","20-30%"))</f>
        <v>10-20%</v>
      </c>
      <c r="J372">
        <v>751.76</v>
      </c>
      <c r="K372" t="s">
        <v>268</v>
      </c>
      <c r="L372" t="s">
        <v>264</v>
      </c>
      <c r="M372">
        <f t="shared" si="35"/>
        <v>1503.52</v>
      </c>
      <c r="N372">
        <f t="shared" si="36"/>
        <v>1997.9360000000001</v>
      </c>
      <c r="O372">
        <f t="shared" si="37"/>
        <v>494.41600000000017</v>
      </c>
      <c r="P372" s="2">
        <f t="shared" si="38"/>
        <v>0.24746338221044123</v>
      </c>
      <c r="Q372" t="str">
        <f t="shared" si="39"/>
        <v>Weekday</v>
      </c>
      <c r="R372" t="str">
        <f t="shared" si="40"/>
        <v>Dec</v>
      </c>
      <c r="S372">
        <f t="shared" si="41"/>
        <v>2023</v>
      </c>
    </row>
    <row r="373" spans="1:19" x14ac:dyDescent="0.25">
      <c r="A373">
        <v>100371</v>
      </c>
      <c r="B373" s="1">
        <v>45443</v>
      </c>
      <c r="C373" t="s">
        <v>25</v>
      </c>
      <c r="D373" t="s">
        <v>83</v>
      </c>
      <c r="E373" t="s">
        <v>257</v>
      </c>
      <c r="F373">
        <v>3</v>
      </c>
      <c r="G373">
        <v>3461.23</v>
      </c>
      <c r="H373">
        <v>30</v>
      </c>
      <c r="I373" t="str">
        <f>IF(Sales[[#This Row],[Discount]]&lt;=10,"0-10%",IF(Sales[[#This Row],[Discount]]&lt;=20,"10-20%","20-30%"))</f>
        <v>20-30%</v>
      </c>
      <c r="J373">
        <v>1845.27</v>
      </c>
      <c r="K373" t="s">
        <v>262</v>
      </c>
      <c r="L373" t="s">
        <v>264</v>
      </c>
      <c r="M373">
        <f t="shared" si="35"/>
        <v>5535.8099999999995</v>
      </c>
      <c r="N373">
        <f t="shared" si="36"/>
        <v>7268.5829999999996</v>
      </c>
      <c r="O373">
        <f t="shared" si="37"/>
        <v>1732.7730000000001</v>
      </c>
      <c r="P373" s="2">
        <f t="shared" si="38"/>
        <v>0.23839213227667624</v>
      </c>
      <c r="Q373" t="str">
        <f t="shared" si="39"/>
        <v>Weekday</v>
      </c>
      <c r="R373" t="str">
        <f t="shared" si="40"/>
        <v>May</v>
      </c>
      <c r="S373">
        <f t="shared" si="41"/>
        <v>2024</v>
      </c>
    </row>
    <row r="374" spans="1:19" x14ac:dyDescent="0.25">
      <c r="A374">
        <v>100372</v>
      </c>
      <c r="B374" s="1">
        <v>45144</v>
      </c>
      <c r="C374" t="s">
        <v>46</v>
      </c>
      <c r="D374" t="s">
        <v>232</v>
      </c>
      <c r="E374" t="s">
        <v>259</v>
      </c>
      <c r="F374">
        <v>3</v>
      </c>
      <c r="G374">
        <v>3555.34</v>
      </c>
      <c r="H374">
        <v>10</v>
      </c>
      <c r="I374" t="str">
        <f>IF(Sales[[#This Row],[Discount]]&lt;=10,"0-10%",IF(Sales[[#This Row],[Discount]]&lt;=20,"10-20%","20-30%"))</f>
        <v>0-10%</v>
      </c>
      <c r="J374">
        <v>2316.0700000000002</v>
      </c>
      <c r="K374" t="s">
        <v>268</v>
      </c>
      <c r="L374" t="s">
        <v>267</v>
      </c>
      <c r="M374">
        <f t="shared" si="35"/>
        <v>6948.2100000000009</v>
      </c>
      <c r="N374">
        <f t="shared" si="36"/>
        <v>9599.4180000000015</v>
      </c>
      <c r="O374">
        <f t="shared" si="37"/>
        <v>2651.2080000000005</v>
      </c>
      <c r="P374" s="2">
        <f t="shared" si="38"/>
        <v>0.27618424366977251</v>
      </c>
      <c r="Q374" t="str">
        <f t="shared" si="39"/>
        <v>Weekend</v>
      </c>
      <c r="R374" t="str">
        <f t="shared" si="40"/>
        <v>Aug</v>
      </c>
      <c r="S374">
        <f t="shared" si="41"/>
        <v>2023</v>
      </c>
    </row>
    <row r="375" spans="1:19" x14ac:dyDescent="0.25">
      <c r="A375">
        <v>100373</v>
      </c>
      <c r="B375" s="1">
        <v>45464</v>
      </c>
      <c r="C375" t="s">
        <v>15</v>
      </c>
      <c r="D375" t="s">
        <v>233</v>
      </c>
      <c r="E375" t="s">
        <v>259</v>
      </c>
      <c r="F375">
        <v>2</v>
      </c>
      <c r="G375">
        <v>382.33</v>
      </c>
      <c r="H375">
        <v>25</v>
      </c>
      <c r="I375" t="str">
        <f>IF(Sales[[#This Row],[Discount]]&lt;=10,"0-10%",IF(Sales[[#This Row],[Discount]]&lt;=20,"10-20%","20-30%"))</f>
        <v>20-30%</v>
      </c>
      <c r="J375">
        <v>180.94</v>
      </c>
      <c r="K375" t="s">
        <v>268</v>
      </c>
      <c r="L375" t="s">
        <v>264</v>
      </c>
      <c r="M375">
        <f t="shared" si="35"/>
        <v>361.88</v>
      </c>
      <c r="N375">
        <f t="shared" si="36"/>
        <v>573.495</v>
      </c>
      <c r="O375">
        <f t="shared" si="37"/>
        <v>211.61500000000001</v>
      </c>
      <c r="P375" s="2">
        <f t="shared" si="38"/>
        <v>0.36899188310272979</v>
      </c>
      <c r="Q375" t="str">
        <f t="shared" si="39"/>
        <v>Weekday</v>
      </c>
      <c r="R375" t="str">
        <f t="shared" si="40"/>
        <v>Jun</v>
      </c>
      <c r="S375">
        <f t="shared" si="41"/>
        <v>2024</v>
      </c>
    </row>
    <row r="376" spans="1:19" x14ac:dyDescent="0.25">
      <c r="A376">
        <v>100374</v>
      </c>
      <c r="B376" s="1">
        <v>45271</v>
      </c>
      <c r="C376" t="s">
        <v>59</v>
      </c>
      <c r="D376" t="s">
        <v>108</v>
      </c>
      <c r="E376" t="s">
        <v>259</v>
      </c>
      <c r="F376">
        <v>3</v>
      </c>
      <c r="G376">
        <v>2981.87</v>
      </c>
      <c r="H376">
        <v>5</v>
      </c>
      <c r="I376" t="str">
        <f>IF(Sales[[#This Row],[Discount]]&lt;=10,"0-10%",IF(Sales[[#This Row],[Discount]]&lt;=20,"10-20%","20-30%"))</f>
        <v>0-10%</v>
      </c>
      <c r="J376">
        <v>1219.93</v>
      </c>
      <c r="K376" t="s">
        <v>262</v>
      </c>
      <c r="L376" t="s">
        <v>266</v>
      </c>
      <c r="M376">
        <f t="shared" si="35"/>
        <v>3659.79</v>
      </c>
      <c r="N376">
        <f t="shared" si="36"/>
        <v>8498.3294999999998</v>
      </c>
      <c r="O376">
        <f t="shared" si="37"/>
        <v>4838.5394999999999</v>
      </c>
      <c r="P376" s="2">
        <f t="shared" si="38"/>
        <v>0.56935183555779989</v>
      </c>
      <c r="Q376" t="str">
        <f t="shared" si="39"/>
        <v>Weekday</v>
      </c>
      <c r="R376" t="str">
        <f t="shared" si="40"/>
        <v>Dec</v>
      </c>
      <c r="S376">
        <f t="shared" si="41"/>
        <v>2023</v>
      </c>
    </row>
    <row r="377" spans="1:19" x14ac:dyDescent="0.25">
      <c r="A377">
        <v>100375</v>
      </c>
      <c r="B377" s="1">
        <v>45580</v>
      </c>
      <c r="C377" t="s">
        <v>36</v>
      </c>
      <c r="D377" t="s">
        <v>63</v>
      </c>
      <c r="E377" t="s">
        <v>256</v>
      </c>
      <c r="F377">
        <v>4</v>
      </c>
      <c r="G377">
        <v>3479.61</v>
      </c>
      <c r="H377">
        <v>0</v>
      </c>
      <c r="I377" t="str">
        <f>IF(Sales[[#This Row],[Discount]]&lt;=10,"0-10%",IF(Sales[[#This Row],[Discount]]&lt;=20,"10-20%","20-30%"))</f>
        <v>0-10%</v>
      </c>
      <c r="J377">
        <v>1616.98</v>
      </c>
      <c r="K377" t="s">
        <v>261</v>
      </c>
      <c r="L377" t="s">
        <v>265</v>
      </c>
      <c r="M377">
        <f t="shared" si="35"/>
        <v>6467.92</v>
      </c>
      <c r="N377">
        <f t="shared" si="36"/>
        <v>13918.44</v>
      </c>
      <c r="O377">
        <f t="shared" si="37"/>
        <v>7450.52</v>
      </c>
      <c r="P377" s="2">
        <f t="shared" si="38"/>
        <v>0.5352984960958268</v>
      </c>
      <c r="Q377" t="str">
        <f t="shared" si="39"/>
        <v>Weekday</v>
      </c>
      <c r="R377" t="str">
        <f t="shared" si="40"/>
        <v>Oct</v>
      </c>
      <c r="S377">
        <f t="shared" si="41"/>
        <v>2024</v>
      </c>
    </row>
    <row r="378" spans="1:19" x14ac:dyDescent="0.25">
      <c r="A378">
        <v>100376</v>
      </c>
      <c r="B378" s="1">
        <v>45146</v>
      </c>
      <c r="C378" t="s">
        <v>56</v>
      </c>
      <c r="D378" t="s">
        <v>102</v>
      </c>
      <c r="E378" t="s">
        <v>258</v>
      </c>
      <c r="F378">
        <v>4</v>
      </c>
      <c r="G378">
        <v>3360.79</v>
      </c>
      <c r="H378">
        <v>15</v>
      </c>
      <c r="I378" t="str">
        <f>IF(Sales[[#This Row],[Discount]]&lt;=10,"0-10%",IF(Sales[[#This Row],[Discount]]&lt;=20,"10-20%","20-30%"))</f>
        <v>10-20%</v>
      </c>
      <c r="J378">
        <v>1451.79</v>
      </c>
      <c r="K378" t="s">
        <v>262</v>
      </c>
      <c r="L378" t="s">
        <v>267</v>
      </c>
      <c r="M378">
        <f t="shared" si="35"/>
        <v>5807.16</v>
      </c>
      <c r="N378">
        <f t="shared" si="36"/>
        <v>11426.686</v>
      </c>
      <c r="O378">
        <f t="shared" si="37"/>
        <v>5619.5259999999998</v>
      </c>
      <c r="P378" s="2">
        <f t="shared" si="38"/>
        <v>0.49178965799882834</v>
      </c>
      <c r="Q378" t="str">
        <f t="shared" si="39"/>
        <v>Weekday</v>
      </c>
      <c r="R378" t="str">
        <f t="shared" si="40"/>
        <v>Aug</v>
      </c>
      <c r="S378">
        <f t="shared" si="41"/>
        <v>2023</v>
      </c>
    </row>
    <row r="379" spans="1:19" x14ac:dyDescent="0.25">
      <c r="A379">
        <v>100377</v>
      </c>
      <c r="B379" s="1">
        <v>45087</v>
      </c>
      <c r="C379" t="s">
        <v>30</v>
      </c>
      <c r="D379" t="s">
        <v>217</v>
      </c>
      <c r="E379" t="s">
        <v>260</v>
      </c>
      <c r="F379">
        <v>2</v>
      </c>
      <c r="G379">
        <v>3143.28</v>
      </c>
      <c r="H379">
        <v>0</v>
      </c>
      <c r="I379" t="str">
        <f>IF(Sales[[#This Row],[Discount]]&lt;=10,"0-10%",IF(Sales[[#This Row],[Discount]]&lt;=20,"10-20%","20-30%"))</f>
        <v>0-10%</v>
      </c>
      <c r="J379">
        <v>1557.29</v>
      </c>
      <c r="K379" t="s">
        <v>261</v>
      </c>
      <c r="L379" t="s">
        <v>263</v>
      </c>
      <c r="M379">
        <f t="shared" si="35"/>
        <v>3114.58</v>
      </c>
      <c r="N379">
        <f t="shared" si="36"/>
        <v>6286.56</v>
      </c>
      <c r="O379">
        <f t="shared" si="37"/>
        <v>3171.9800000000005</v>
      </c>
      <c r="P379" s="2">
        <f t="shared" si="38"/>
        <v>0.50456529485123824</v>
      </c>
      <c r="Q379" t="str">
        <f t="shared" si="39"/>
        <v>Weekend</v>
      </c>
      <c r="R379" t="str">
        <f t="shared" si="40"/>
        <v>Jun</v>
      </c>
      <c r="S379">
        <f t="shared" si="41"/>
        <v>2023</v>
      </c>
    </row>
    <row r="380" spans="1:19" x14ac:dyDescent="0.25">
      <c r="A380">
        <v>100378</v>
      </c>
      <c r="B380" s="1">
        <v>45515</v>
      </c>
      <c r="C380" t="s">
        <v>19</v>
      </c>
      <c r="D380" t="s">
        <v>234</v>
      </c>
      <c r="E380" t="s">
        <v>258</v>
      </c>
      <c r="F380">
        <v>1</v>
      </c>
      <c r="G380">
        <v>4392.54</v>
      </c>
      <c r="H380">
        <v>30</v>
      </c>
      <c r="I380" t="str">
        <f>IF(Sales[[#This Row],[Discount]]&lt;=10,"0-10%",IF(Sales[[#This Row],[Discount]]&lt;=20,"10-20%","20-30%"))</f>
        <v>20-30%</v>
      </c>
      <c r="J380">
        <v>2788.01</v>
      </c>
      <c r="K380" t="s">
        <v>262</v>
      </c>
      <c r="L380" t="s">
        <v>265</v>
      </c>
      <c r="M380">
        <f t="shared" si="35"/>
        <v>2788.01</v>
      </c>
      <c r="N380">
        <f t="shared" si="36"/>
        <v>3074.7779999999998</v>
      </c>
      <c r="O380">
        <f t="shared" si="37"/>
        <v>286.76799999999957</v>
      </c>
      <c r="P380" s="2">
        <f t="shared" si="38"/>
        <v>9.3264619429435106E-2</v>
      </c>
      <c r="Q380" t="str">
        <f t="shared" si="39"/>
        <v>Weekend</v>
      </c>
      <c r="R380" t="str">
        <f t="shared" si="40"/>
        <v>Aug</v>
      </c>
      <c r="S380">
        <f t="shared" si="41"/>
        <v>2024</v>
      </c>
    </row>
    <row r="381" spans="1:19" x14ac:dyDescent="0.25">
      <c r="A381">
        <v>100379</v>
      </c>
      <c r="B381" s="1">
        <v>45028</v>
      </c>
      <c r="C381" t="s">
        <v>24</v>
      </c>
      <c r="D381" t="s">
        <v>177</v>
      </c>
      <c r="E381" t="s">
        <v>257</v>
      </c>
      <c r="F381">
        <v>1</v>
      </c>
      <c r="G381">
        <v>812.82</v>
      </c>
      <c r="H381">
        <v>25</v>
      </c>
      <c r="I381" t="str">
        <f>IF(Sales[[#This Row],[Discount]]&lt;=10,"0-10%",IF(Sales[[#This Row],[Discount]]&lt;=20,"10-20%","20-30%"))</f>
        <v>20-30%</v>
      </c>
      <c r="J381">
        <v>483.75</v>
      </c>
      <c r="K381" t="s">
        <v>268</v>
      </c>
      <c r="L381" t="s">
        <v>266</v>
      </c>
      <c r="M381">
        <f t="shared" si="35"/>
        <v>483.75</v>
      </c>
      <c r="N381">
        <f t="shared" si="36"/>
        <v>609.61500000000001</v>
      </c>
      <c r="O381">
        <f t="shared" si="37"/>
        <v>125.86500000000001</v>
      </c>
      <c r="P381" s="2">
        <f t="shared" si="38"/>
        <v>0.20646637631948034</v>
      </c>
      <c r="Q381" t="str">
        <f t="shared" si="39"/>
        <v>Weekday</v>
      </c>
      <c r="R381" t="str">
        <f t="shared" si="40"/>
        <v>Apr</v>
      </c>
      <c r="S381">
        <f t="shared" si="41"/>
        <v>2023</v>
      </c>
    </row>
    <row r="382" spans="1:19" x14ac:dyDescent="0.25">
      <c r="A382">
        <v>100380</v>
      </c>
      <c r="B382" s="1">
        <v>45323</v>
      </c>
      <c r="C382" t="s">
        <v>12</v>
      </c>
      <c r="D382" t="s">
        <v>212</v>
      </c>
      <c r="E382" t="s">
        <v>259</v>
      </c>
      <c r="F382">
        <v>2</v>
      </c>
      <c r="G382">
        <v>2359.41</v>
      </c>
      <c r="H382">
        <v>10</v>
      </c>
      <c r="I382" t="str">
        <f>IF(Sales[[#This Row],[Discount]]&lt;=10,"0-10%",IF(Sales[[#This Row],[Discount]]&lt;=20,"10-20%","20-30%"))</f>
        <v>0-10%</v>
      </c>
      <c r="J382">
        <v>1581.78</v>
      </c>
      <c r="K382" t="s">
        <v>261</v>
      </c>
      <c r="L382" t="s">
        <v>267</v>
      </c>
      <c r="M382">
        <f t="shared" si="35"/>
        <v>3163.56</v>
      </c>
      <c r="N382">
        <f t="shared" si="36"/>
        <v>4246.9380000000001</v>
      </c>
      <c r="O382">
        <f t="shared" si="37"/>
        <v>1083.3780000000002</v>
      </c>
      <c r="P382" s="2">
        <f t="shared" si="38"/>
        <v>0.25509625994069141</v>
      </c>
      <c r="Q382" t="str">
        <f t="shared" si="39"/>
        <v>Weekday</v>
      </c>
      <c r="R382" t="str">
        <f t="shared" si="40"/>
        <v>Feb</v>
      </c>
      <c r="S382">
        <f t="shared" si="41"/>
        <v>2024</v>
      </c>
    </row>
    <row r="383" spans="1:19" x14ac:dyDescent="0.25">
      <c r="A383">
        <v>100381</v>
      </c>
      <c r="B383" s="1">
        <v>45381</v>
      </c>
      <c r="C383" t="s">
        <v>17</v>
      </c>
      <c r="D383" t="s">
        <v>65</v>
      </c>
      <c r="E383" t="s">
        <v>254</v>
      </c>
      <c r="F383">
        <v>3</v>
      </c>
      <c r="G383">
        <v>4383.83</v>
      </c>
      <c r="H383">
        <v>10</v>
      </c>
      <c r="I383" t="str">
        <f>IF(Sales[[#This Row],[Discount]]&lt;=10,"0-10%",IF(Sales[[#This Row],[Discount]]&lt;=20,"10-20%","20-30%"))</f>
        <v>0-10%</v>
      </c>
      <c r="J383">
        <v>2247.6</v>
      </c>
      <c r="K383" t="s">
        <v>261</v>
      </c>
      <c r="L383" t="s">
        <v>267</v>
      </c>
      <c r="M383">
        <f t="shared" si="35"/>
        <v>6742.7999999999993</v>
      </c>
      <c r="N383">
        <f t="shared" si="36"/>
        <v>11836.341</v>
      </c>
      <c r="O383">
        <f t="shared" si="37"/>
        <v>5093.5410000000011</v>
      </c>
      <c r="P383" s="2">
        <f t="shared" si="38"/>
        <v>0.43033070777531679</v>
      </c>
      <c r="Q383" t="str">
        <f t="shared" si="39"/>
        <v>Weekend</v>
      </c>
      <c r="R383" t="str">
        <f t="shared" si="40"/>
        <v>Mar</v>
      </c>
      <c r="S383">
        <f t="shared" si="41"/>
        <v>2024</v>
      </c>
    </row>
    <row r="384" spans="1:19" x14ac:dyDescent="0.25">
      <c r="A384">
        <v>100382</v>
      </c>
      <c r="B384" s="1">
        <v>45637</v>
      </c>
      <c r="C384" t="s">
        <v>19</v>
      </c>
      <c r="D384" t="s">
        <v>82</v>
      </c>
      <c r="E384" t="s">
        <v>259</v>
      </c>
      <c r="F384">
        <v>1</v>
      </c>
      <c r="G384">
        <v>1825.55</v>
      </c>
      <c r="H384">
        <v>0</v>
      </c>
      <c r="I384" t="str">
        <f>IF(Sales[[#This Row],[Discount]]&lt;=10,"0-10%",IF(Sales[[#This Row],[Discount]]&lt;=20,"10-20%","20-30%"))</f>
        <v>0-10%</v>
      </c>
      <c r="J384">
        <v>930.92</v>
      </c>
      <c r="K384" t="s">
        <v>261</v>
      </c>
      <c r="L384" t="s">
        <v>263</v>
      </c>
      <c r="M384">
        <f t="shared" si="35"/>
        <v>930.92</v>
      </c>
      <c r="N384">
        <f t="shared" si="36"/>
        <v>1825.55</v>
      </c>
      <c r="O384">
        <f t="shared" si="37"/>
        <v>894.63</v>
      </c>
      <c r="P384" s="2">
        <f t="shared" si="38"/>
        <v>0.4900605297033771</v>
      </c>
      <c r="Q384" t="str">
        <f t="shared" si="39"/>
        <v>Weekday</v>
      </c>
      <c r="R384" t="str">
        <f t="shared" si="40"/>
        <v>Dec</v>
      </c>
      <c r="S384">
        <f t="shared" si="41"/>
        <v>2024</v>
      </c>
    </row>
    <row r="385" spans="1:19" x14ac:dyDescent="0.25">
      <c r="A385">
        <v>100383</v>
      </c>
      <c r="B385" s="1">
        <v>45343</v>
      </c>
      <c r="C385" t="s">
        <v>15</v>
      </c>
      <c r="D385" t="s">
        <v>220</v>
      </c>
      <c r="E385" t="s">
        <v>254</v>
      </c>
      <c r="F385">
        <v>1</v>
      </c>
      <c r="G385">
        <v>2087.9699999999998</v>
      </c>
      <c r="H385">
        <v>10</v>
      </c>
      <c r="I385" t="str">
        <f>IF(Sales[[#This Row],[Discount]]&lt;=10,"0-10%",IF(Sales[[#This Row],[Discount]]&lt;=20,"10-20%","20-30%"))</f>
        <v>0-10%</v>
      </c>
      <c r="J385">
        <v>1178.76</v>
      </c>
      <c r="K385" t="s">
        <v>268</v>
      </c>
      <c r="L385" t="s">
        <v>264</v>
      </c>
      <c r="M385">
        <f t="shared" si="35"/>
        <v>1178.76</v>
      </c>
      <c r="N385">
        <f t="shared" si="36"/>
        <v>1879.1729999999998</v>
      </c>
      <c r="O385">
        <f t="shared" si="37"/>
        <v>700.41299999999978</v>
      </c>
      <c r="P385" s="2">
        <f t="shared" si="38"/>
        <v>0.37272406532022323</v>
      </c>
      <c r="Q385" t="str">
        <f t="shared" si="39"/>
        <v>Weekday</v>
      </c>
      <c r="R385" t="str">
        <f t="shared" si="40"/>
        <v>Feb</v>
      </c>
      <c r="S385">
        <f t="shared" si="41"/>
        <v>2024</v>
      </c>
    </row>
    <row r="386" spans="1:19" x14ac:dyDescent="0.25">
      <c r="A386">
        <v>100384</v>
      </c>
      <c r="B386" s="1">
        <v>45193</v>
      </c>
      <c r="C386" t="s">
        <v>44</v>
      </c>
      <c r="D386" t="s">
        <v>120</v>
      </c>
      <c r="E386" t="s">
        <v>257</v>
      </c>
      <c r="F386">
        <v>4</v>
      </c>
      <c r="G386">
        <v>2054.2800000000002</v>
      </c>
      <c r="H386">
        <v>30</v>
      </c>
      <c r="I386" t="str">
        <f>IF(Sales[[#This Row],[Discount]]&lt;=10,"0-10%",IF(Sales[[#This Row],[Discount]]&lt;=20,"10-20%","20-30%"))</f>
        <v>20-30%</v>
      </c>
      <c r="J386">
        <v>961.77</v>
      </c>
      <c r="K386" t="s">
        <v>261</v>
      </c>
      <c r="L386" t="s">
        <v>263</v>
      </c>
      <c r="M386">
        <f t="shared" si="35"/>
        <v>3847.08</v>
      </c>
      <c r="N386">
        <f t="shared" si="36"/>
        <v>5751.9840000000004</v>
      </c>
      <c r="O386">
        <f t="shared" si="37"/>
        <v>1904.9040000000005</v>
      </c>
      <c r="P386" s="2">
        <f t="shared" si="38"/>
        <v>0.33117338295794985</v>
      </c>
      <c r="Q386" t="str">
        <f t="shared" si="39"/>
        <v>Weekend</v>
      </c>
      <c r="R386" t="str">
        <f t="shared" si="40"/>
        <v>Sep</v>
      </c>
      <c r="S386">
        <f t="shared" si="41"/>
        <v>2023</v>
      </c>
    </row>
    <row r="387" spans="1:19" x14ac:dyDescent="0.25">
      <c r="A387">
        <v>100385</v>
      </c>
      <c r="B387" s="1">
        <v>44929</v>
      </c>
      <c r="C387" t="s">
        <v>44</v>
      </c>
      <c r="D387" t="s">
        <v>235</v>
      </c>
      <c r="E387" t="s">
        <v>259</v>
      </c>
      <c r="F387">
        <v>4</v>
      </c>
      <c r="G387">
        <v>3440.6</v>
      </c>
      <c r="H387">
        <v>20</v>
      </c>
      <c r="I387" t="str">
        <f>IF(Sales[[#This Row],[Discount]]&lt;=10,"0-10%",IF(Sales[[#This Row],[Discount]]&lt;=20,"10-20%","20-30%"))</f>
        <v>10-20%</v>
      </c>
      <c r="J387">
        <v>2015.67</v>
      </c>
      <c r="K387" t="s">
        <v>262</v>
      </c>
      <c r="L387" t="s">
        <v>267</v>
      </c>
      <c r="M387">
        <f t="shared" ref="M387:M450" si="42">F387*J387</f>
        <v>8062.68</v>
      </c>
      <c r="N387">
        <f t="shared" ref="N387:N450" si="43">F387*G387*(1-H387/100)</f>
        <v>11009.92</v>
      </c>
      <c r="O387">
        <f t="shared" ref="O387:O450" si="44">N387-M387</f>
        <v>2947.24</v>
      </c>
      <c r="P387" s="2">
        <f t="shared" ref="P387:P450" si="45">O387/N387</f>
        <v>0.26768950183107593</v>
      </c>
      <c r="Q387" t="str">
        <f t="shared" ref="Q387:Q450" si="46">IF(WEEKDAY(B387,2)&gt;5,"Weekend","Weekday")</f>
        <v>Weekday</v>
      </c>
      <c r="R387" t="str">
        <f t="shared" ref="R387:R450" si="47">TEXT(B387,"mmm")</f>
        <v>Jan</v>
      </c>
      <c r="S387">
        <f t="shared" ref="S387:S450" si="48">YEAR(B387)</f>
        <v>2023</v>
      </c>
    </row>
    <row r="388" spans="1:19" x14ac:dyDescent="0.25">
      <c r="A388">
        <v>100386</v>
      </c>
      <c r="B388" s="1">
        <v>45555</v>
      </c>
      <c r="C388" t="s">
        <v>39</v>
      </c>
      <c r="D388" t="s">
        <v>188</v>
      </c>
      <c r="E388" t="s">
        <v>259</v>
      </c>
      <c r="F388">
        <v>2</v>
      </c>
      <c r="G388">
        <v>4771.95</v>
      </c>
      <c r="H388">
        <v>0</v>
      </c>
      <c r="I388" t="str">
        <f>IF(Sales[[#This Row],[Discount]]&lt;=10,"0-10%",IF(Sales[[#This Row],[Discount]]&lt;=20,"10-20%","20-30%"))</f>
        <v>0-10%</v>
      </c>
      <c r="J388">
        <v>3121.57</v>
      </c>
      <c r="K388" t="s">
        <v>261</v>
      </c>
      <c r="L388" t="s">
        <v>264</v>
      </c>
      <c r="M388">
        <f t="shared" si="42"/>
        <v>6243.14</v>
      </c>
      <c r="N388">
        <f t="shared" si="43"/>
        <v>9543.9</v>
      </c>
      <c r="O388">
        <f t="shared" si="44"/>
        <v>3300.7599999999993</v>
      </c>
      <c r="P388" s="2">
        <f t="shared" si="45"/>
        <v>0.3458502289420467</v>
      </c>
      <c r="Q388" t="str">
        <f t="shared" si="46"/>
        <v>Weekday</v>
      </c>
      <c r="R388" t="str">
        <f t="shared" si="47"/>
        <v>Sep</v>
      </c>
      <c r="S388">
        <f t="shared" si="48"/>
        <v>2024</v>
      </c>
    </row>
    <row r="389" spans="1:19" x14ac:dyDescent="0.25">
      <c r="A389">
        <v>100387</v>
      </c>
      <c r="B389" s="1">
        <v>45219</v>
      </c>
      <c r="C389" t="s">
        <v>33</v>
      </c>
      <c r="D389" t="s">
        <v>72</v>
      </c>
      <c r="E389" t="s">
        <v>260</v>
      </c>
      <c r="F389">
        <v>1</v>
      </c>
      <c r="G389">
        <v>2086.92</v>
      </c>
      <c r="H389">
        <v>0</v>
      </c>
      <c r="I389" t="str">
        <f>IF(Sales[[#This Row],[Discount]]&lt;=10,"0-10%",IF(Sales[[#This Row],[Discount]]&lt;=20,"10-20%","20-30%"))</f>
        <v>0-10%</v>
      </c>
      <c r="J389">
        <v>1084.46</v>
      </c>
      <c r="K389" t="s">
        <v>268</v>
      </c>
      <c r="L389" t="s">
        <v>263</v>
      </c>
      <c r="M389">
        <f t="shared" si="42"/>
        <v>1084.46</v>
      </c>
      <c r="N389">
        <f t="shared" si="43"/>
        <v>2086.92</v>
      </c>
      <c r="O389">
        <f t="shared" si="44"/>
        <v>1002.46</v>
      </c>
      <c r="P389" s="2">
        <f t="shared" si="45"/>
        <v>0.4803538228585667</v>
      </c>
      <c r="Q389" t="str">
        <f t="shared" si="46"/>
        <v>Weekday</v>
      </c>
      <c r="R389" t="str">
        <f t="shared" si="47"/>
        <v>Oct</v>
      </c>
      <c r="S389">
        <f t="shared" si="48"/>
        <v>2023</v>
      </c>
    </row>
    <row r="390" spans="1:19" x14ac:dyDescent="0.25">
      <c r="A390">
        <v>100388</v>
      </c>
      <c r="B390" s="1">
        <v>45252</v>
      </c>
      <c r="C390" t="s">
        <v>59</v>
      </c>
      <c r="D390" t="s">
        <v>108</v>
      </c>
      <c r="E390" t="s">
        <v>255</v>
      </c>
      <c r="F390">
        <v>4</v>
      </c>
      <c r="G390">
        <v>3157.15</v>
      </c>
      <c r="H390">
        <v>10</v>
      </c>
      <c r="I390" t="str">
        <f>IF(Sales[[#This Row],[Discount]]&lt;=10,"0-10%",IF(Sales[[#This Row],[Discount]]&lt;=20,"10-20%","20-30%"))</f>
        <v>0-10%</v>
      </c>
      <c r="J390">
        <v>1987.32</v>
      </c>
      <c r="K390" t="s">
        <v>262</v>
      </c>
      <c r="L390" t="s">
        <v>264</v>
      </c>
      <c r="M390">
        <f t="shared" si="42"/>
        <v>7949.28</v>
      </c>
      <c r="N390">
        <f t="shared" si="43"/>
        <v>11365.74</v>
      </c>
      <c r="O390">
        <f t="shared" si="44"/>
        <v>3416.46</v>
      </c>
      <c r="P390" s="2">
        <f t="shared" si="45"/>
        <v>0.30059283425452282</v>
      </c>
      <c r="Q390" t="str">
        <f t="shared" si="46"/>
        <v>Weekday</v>
      </c>
      <c r="R390" t="str">
        <f t="shared" si="47"/>
        <v>Nov</v>
      </c>
      <c r="S390">
        <f t="shared" si="48"/>
        <v>2023</v>
      </c>
    </row>
    <row r="391" spans="1:19" x14ac:dyDescent="0.25">
      <c r="A391">
        <v>100389</v>
      </c>
      <c r="B391" s="1">
        <v>44947</v>
      </c>
      <c r="C391" t="s">
        <v>38</v>
      </c>
      <c r="D391" t="s">
        <v>164</v>
      </c>
      <c r="E391" t="s">
        <v>260</v>
      </c>
      <c r="F391">
        <v>2</v>
      </c>
      <c r="G391">
        <v>3662.81</v>
      </c>
      <c r="H391">
        <v>25</v>
      </c>
      <c r="I391" t="str">
        <f>IF(Sales[[#This Row],[Discount]]&lt;=10,"0-10%",IF(Sales[[#This Row],[Discount]]&lt;=20,"10-20%","20-30%"))</f>
        <v>20-30%</v>
      </c>
      <c r="J391">
        <v>2037.88</v>
      </c>
      <c r="K391" t="s">
        <v>261</v>
      </c>
      <c r="L391" t="s">
        <v>263</v>
      </c>
      <c r="M391">
        <f t="shared" si="42"/>
        <v>4075.76</v>
      </c>
      <c r="N391">
        <f t="shared" si="43"/>
        <v>5494.2150000000001</v>
      </c>
      <c r="O391">
        <f t="shared" si="44"/>
        <v>1418.4549999999999</v>
      </c>
      <c r="P391" s="2">
        <f t="shared" si="45"/>
        <v>0.25817245957793789</v>
      </c>
      <c r="Q391" t="str">
        <f t="shared" si="46"/>
        <v>Weekend</v>
      </c>
      <c r="R391" t="str">
        <f t="shared" si="47"/>
        <v>Jan</v>
      </c>
      <c r="S391">
        <f t="shared" si="48"/>
        <v>2023</v>
      </c>
    </row>
    <row r="392" spans="1:19" x14ac:dyDescent="0.25">
      <c r="A392">
        <v>100390</v>
      </c>
      <c r="B392" s="1">
        <v>45050</v>
      </c>
      <c r="C392" t="s">
        <v>40</v>
      </c>
      <c r="D392" t="s">
        <v>82</v>
      </c>
      <c r="E392" t="s">
        <v>258</v>
      </c>
      <c r="F392">
        <v>3</v>
      </c>
      <c r="G392">
        <v>335.55</v>
      </c>
      <c r="H392">
        <v>5</v>
      </c>
      <c r="I392" t="str">
        <f>IF(Sales[[#This Row],[Discount]]&lt;=10,"0-10%",IF(Sales[[#This Row],[Discount]]&lt;=20,"10-20%","20-30%"))</f>
        <v>0-10%</v>
      </c>
      <c r="J392">
        <v>199.4</v>
      </c>
      <c r="K392" t="s">
        <v>262</v>
      </c>
      <c r="L392" t="s">
        <v>264</v>
      </c>
      <c r="M392">
        <f t="shared" si="42"/>
        <v>598.20000000000005</v>
      </c>
      <c r="N392">
        <f t="shared" si="43"/>
        <v>956.3175</v>
      </c>
      <c r="O392">
        <f t="shared" si="44"/>
        <v>358.11749999999995</v>
      </c>
      <c r="P392" s="2">
        <f t="shared" si="45"/>
        <v>0.37447552721768657</v>
      </c>
      <c r="Q392" t="str">
        <f t="shared" si="46"/>
        <v>Weekday</v>
      </c>
      <c r="R392" t="str">
        <f t="shared" si="47"/>
        <v>May</v>
      </c>
      <c r="S392">
        <f t="shared" si="48"/>
        <v>2023</v>
      </c>
    </row>
    <row r="393" spans="1:19" x14ac:dyDescent="0.25">
      <c r="A393">
        <v>100391</v>
      </c>
      <c r="B393" s="1">
        <v>45250</v>
      </c>
      <c r="C393" t="s">
        <v>21</v>
      </c>
      <c r="D393" t="s">
        <v>132</v>
      </c>
      <c r="E393" t="s">
        <v>257</v>
      </c>
      <c r="F393">
        <v>1</v>
      </c>
      <c r="G393">
        <v>3377.06</v>
      </c>
      <c r="H393">
        <v>0</v>
      </c>
      <c r="I393" t="str">
        <f>IF(Sales[[#This Row],[Discount]]&lt;=10,"0-10%",IF(Sales[[#This Row],[Discount]]&lt;=20,"10-20%","20-30%"))</f>
        <v>0-10%</v>
      </c>
      <c r="J393">
        <v>1735.88</v>
      </c>
      <c r="K393" t="s">
        <v>261</v>
      </c>
      <c r="L393" t="s">
        <v>265</v>
      </c>
      <c r="M393">
        <f t="shared" si="42"/>
        <v>1735.88</v>
      </c>
      <c r="N393">
        <f t="shared" si="43"/>
        <v>3377.06</v>
      </c>
      <c r="O393">
        <f t="shared" si="44"/>
        <v>1641.1799999999998</v>
      </c>
      <c r="P393" s="2">
        <f t="shared" si="45"/>
        <v>0.48597892841702545</v>
      </c>
      <c r="Q393" t="str">
        <f t="shared" si="46"/>
        <v>Weekday</v>
      </c>
      <c r="R393" t="str">
        <f t="shared" si="47"/>
        <v>Nov</v>
      </c>
      <c r="S393">
        <f t="shared" si="48"/>
        <v>2023</v>
      </c>
    </row>
    <row r="394" spans="1:19" x14ac:dyDescent="0.25">
      <c r="A394">
        <v>100392</v>
      </c>
      <c r="B394" s="1">
        <v>45299</v>
      </c>
      <c r="C394" t="s">
        <v>32</v>
      </c>
      <c r="D394" t="s">
        <v>81</v>
      </c>
      <c r="E394" t="s">
        <v>258</v>
      </c>
      <c r="F394">
        <v>1</v>
      </c>
      <c r="G394">
        <v>1952.63</v>
      </c>
      <c r="H394">
        <v>30</v>
      </c>
      <c r="I394" t="str">
        <f>IF(Sales[[#This Row],[Discount]]&lt;=10,"0-10%",IF(Sales[[#This Row],[Discount]]&lt;=20,"10-20%","20-30%"))</f>
        <v>20-30%</v>
      </c>
      <c r="J394">
        <v>840.46</v>
      </c>
      <c r="K394" t="s">
        <v>268</v>
      </c>
      <c r="L394" t="s">
        <v>265</v>
      </c>
      <c r="M394">
        <f t="shared" si="42"/>
        <v>840.46</v>
      </c>
      <c r="N394">
        <f t="shared" si="43"/>
        <v>1366.8409999999999</v>
      </c>
      <c r="O394">
        <f t="shared" si="44"/>
        <v>526.38099999999986</v>
      </c>
      <c r="P394" s="2">
        <f t="shared" si="45"/>
        <v>0.3851077045537849</v>
      </c>
      <c r="Q394" t="str">
        <f t="shared" si="46"/>
        <v>Weekday</v>
      </c>
      <c r="R394" t="str">
        <f t="shared" si="47"/>
        <v>Jan</v>
      </c>
      <c r="S394">
        <f t="shared" si="48"/>
        <v>2024</v>
      </c>
    </row>
    <row r="395" spans="1:19" x14ac:dyDescent="0.25">
      <c r="A395">
        <v>100393</v>
      </c>
      <c r="B395" s="1">
        <v>45217</v>
      </c>
      <c r="C395" t="s">
        <v>39</v>
      </c>
      <c r="D395" t="s">
        <v>233</v>
      </c>
      <c r="E395" t="s">
        <v>258</v>
      </c>
      <c r="F395">
        <v>2</v>
      </c>
      <c r="G395">
        <v>1744.26</v>
      </c>
      <c r="H395">
        <v>25</v>
      </c>
      <c r="I395" t="str">
        <f>IF(Sales[[#This Row],[Discount]]&lt;=10,"0-10%",IF(Sales[[#This Row],[Discount]]&lt;=20,"10-20%","20-30%"))</f>
        <v>20-30%</v>
      </c>
      <c r="J395">
        <v>1117.9100000000001</v>
      </c>
      <c r="K395" t="s">
        <v>262</v>
      </c>
      <c r="L395" t="s">
        <v>265</v>
      </c>
      <c r="M395">
        <f t="shared" si="42"/>
        <v>2235.8200000000002</v>
      </c>
      <c r="N395">
        <f t="shared" si="43"/>
        <v>2616.39</v>
      </c>
      <c r="O395">
        <f t="shared" si="44"/>
        <v>380.56999999999971</v>
      </c>
      <c r="P395" s="2">
        <f t="shared" si="45"/>
        <v>0.14545614377061514</v>
      </c>
      <c r="Q395" t="str">
        <f t="shared" si="46"/>
        <v>Weekday</v>
      </c>
      <c r="R395" t="str">
        <f t="shared" si="47"/>
        <v>Oct</v>
      </c>
      <c r="S395">
        <f t="shared" si="48"/>
        <v>2023</v>
      </c>
    </row>
    <row r="396" spans="1:19" x14ac:dyDescent="0.25">
      <c r="A396">
        <v>100394</v>
      </c>
      <c r="B396" s="1">
        <v>44928</v>
      </c>
      <c r="C396" t="s">
        <v>12</v>
      </c>
      <c r="D396" t="s">
        <v>208</v>
      </c>
      <c r="E396" t="s">
        <v>259</v>
      </c>
      <c r="F396">
        <v>4</v>
      </c>
      <c r="G396">
        <v>721.24</v>
      </c>
      <c r="H396">
        <v>25</v>
      </c>
      <c r="I396" t="str">
        <f>IF(Sales[[#This Row],[Discount]]&lt;=10,"0-10%",IF(Sales[[#This Row],[Discount]]&lt;=20,"10-20%","20-30%"))</f>
        <v>20-30%</v>
      </c>
      <c r="J396">
        <v>443.77</v>
      </c>
      <c r="K396" t="s">
        <v>261</v>
      </c>
      <c r="L396" t="s">
        <v>264</v>
      </c>
      <c r="M396">
        <f t="shared" si="42"/>
        <v>1775.08</v>
      </c>
      <c r="N396">
        <f t="shared" si="43"/>
        <v>2163.7200000000003</v>
      </c>
      <c r="O396">
        <f t="shared" si="44"/>
        <v>388.64000000000033</v>
      </c>
      <c r="P396" s="2">
        <f t="shared" si="45"/>
        <v>0.1796165862496073</v>
      </c>
      <c r="Q396" t="str">
        <f t="shared" si="46"/>
        <v>Weekday</v>
      </c>
      <c r="R396" t="str">
        <f t="shared" si="47"/>
        <v>Jan</v>
      </c>
      <c r="S396">
        <f t="shared" si="48"/>
        <v>2023</v>
      </c>
    </row>
    <row r="397" spans="1:19" x14ac:dyDescent="0.25">
      <c r="A397">
        <v>100395</v>
      </c>
      <c r="B397" s="1">
        <v>45385</v>
      </c>
      <c r="C397" t="s">
        <v>49</v>
      </c>
      <c r="D397" t="s">
        <v>139</v>
      </c>
      <c r="E397" t="s">
        <v>256</v>
      </c>
      <c r="F397">
        <v>1</v>
      </c>
      <c r="G397">
        <v>2243.6799999999998</v>
      </c>
      <c r="H397">
        <v>25</v>
      </c>
      <c r="I397" t="str">
        <f>IF(Sales[[#This Row],[Discount]]&lt;=10,"0-10%",IF(Sales[[#This Row],[Discount]]&lt;=20,"10-20%","20-30%"))</f>
        <v>20-30%</v>
      </c>
      <c r="J397">
        <v>979.51</v>
      </c>
      <c r="K397" t="s">
        <v>268</v>
      </c>
      <c r="L397" t="s">
        <v>267</v>
      </c>
      <c r="M397">
        <f t="shared" si="42"/>
        <v>979.51</v>
      </c>
      <c r="N397">
        <f t="shared" si="43"/>
        <v>1682.7599999999998</v>
      </c>
      <c r="O397">
        <f t="shared" si="44"/>
        <v>703.24999999999977</v>
      </c>
      <c r="P397" s="2">
        <f t="shared" si="45"/>
        <v>0.41791461646342903</v>
      </c>
      <c r="Q397" t="str">
        <f t="shared" si="46"/>
        <v>Weekday</v>
      </c>
      <c r="R397" t="str">
        <f t="shared" si="47"/>
        <v>Apr</v>
      </c>
      <c r="S397">
        <f t="shared" si="48"/>
        <v>2024</v>
      </c>
    </row>
    <row r="398" spans="1:19" x14ac:dyDescent="0.25">
      <c r="A398">
        <v>100396</v>
      </c>
      <c r="B398" s="1">
        <v>45085</v>
      </c>
      <c r="C398" t="s">
        <v>33</v>
      </c>
      <c r="D398" t="s">
        <v>236</v>
      </c>
      <c r="E398" t="s">
        <v>256</v>
      </c>
      <c r="F398">
        <v>3</v>
      </c>
      <c r="G398">
        <v>4339.25</v>
      </c>
      <c r="H398">
        <v>0</v>
      </c>
      <c r="I398" t="str">
        <f>IF(Sales[[#This Row],[Discount]]&lt;=10,"0-10%",IF(Sales[[#This Row],[Discount]]&lt;=20,"10-20%","20-30%"))</f>
        <v>0-10%</v>
      </c>
      <c r="J398">
        <v>2776.84</v>
      </c>
      <c r="K398" t="s">
        <v>262</v>
      </c>
      <c r="L398" t="s">
        <v>265</v>
      </c>
      <c r="M398">
        <f t="shared" si="42"/>
        <v>8330.52</v>
      </c>
      <c r="N398">
        <f t="shared" si="43"/>
        <v>13017.75</v>
      </c>
      <c r="O398">
        <f t="shared" si="44"/>
        <v>4687.2299999999996</v>
      </c>
      <c r="P398" s="2">
        <f t="shared" si="45"/>
        <v>0.36006452728005989</v>
      </c>
      <c r="Q398" t="str">
        <f t="shared" si="46"/>
        <v>Weekday</v>
      </c>
      <c r="R398" t="str">
        <f t="shared" si="47"/>
        <v>Jun</v>
      </c>
      <c r="S398">
        <f t="shared" si="48"/>
        <v>2023</v>
      </c>
    </row>
    <row r="399" spans="1:19" x14ac:dyDescent="0.25">
      <c r="A399">
        <v>100397</v>
      </c>
      <c r="B399" s="1">
        <v>45224</v>
      </c>
      <c r="C399" t="s">
        <v>47</v>
      </c>
      <c r="D399" t="s">
        <v>92</v>
      </c>
      <c r="E399" t="s">
        <v>258</v>
      </c>
      <c r="F399">
        <v>3</v>
      </c>
      <c r="G399">
        <v>802.32</v>
      </c>
      <c r="H399">
        <v>0</v>
      </c>
      <c r="I399" t="str">
        <f>IF(Sales[[#This Row],[Discount]]&lt;=10,"0-10%",IF(Sales[[#This Row],[Discount]]&lt;=20,"10-20%","20-30%"))</f>
        <v>0-10%</v>
      </c>
      <c r="J399">
        <v>457.48</v>
      </c>
      <c r="K399" t="s">
        <v>262</v>
      </c>
      <c r="L399" t="s">
        <v>265</v>
      </c>
      <c r="M399">
        <f t="shared" si="42"/>
        <v>1372.44</v>
      </c>
      <c r="N399">
        <f t="shared" si="43"/>
        <v>2406.96</v>
      </c>
      <c r="O399">
        <f t="shared" si="44"/>
        <v>1034.52</v>
      </c>
      <c r="P399" s="2">
        <f t="shared" si="45"/>
        <v>0.42980356964802074</v>
      </c>
      <c r="Q399" t="str">
        <f t="shared" si="46"/>
        <v>Weekday</v>
      </c>
      <c r="R399" t="str">
        <f t="shared" si="47"/>
        <v>Oct</v>
      </c>
      <c r="S399">
        <f t="shared" si="48"/>
        <v>2023</v>
      </c>
    </row>
    <row r="400" spans="1:19" x14ac:dyDescent="0.25">
      <c r="A400">
        <v>100398</v>
      </c>
      <c r="B400" s="1">
        <v>45311</v>
      </c>
      <c r="C400" t="s">
        <v>47</v>
      </c>
      <c r="D400" t="s">
        <v>69</v>
      </c>
      <c r="E400" t="s">
        <v>258</v>
      </c>
      <c r="F400">
        <v>4</v>
      </c>
      <c r="G400">
        <v>2295.2800000000002</v>
      </c>
      <c r="H400">
        <v>15</v>
      </c>
      <c r="I400" t="str">
        <f>IF(Sales[[#This Row],[Discount]]&lt;=10,"0-10%",IF(Sales[[#This Row],[Discount]]&lt;=20,"10-20%","20-30%"))</f>
        <v>10-20%</v>
      </c>
      <c r="J400">
        <v>978.05</v>
      </c>
      <c r="K400" t="s">
        <v>261</v>
      </c>
      <c r="L400" t="s">
        <v>264</v>
      </c>
      <c r="M400">
        <f t="shared" si="42"/>
        <v>3912.2</v>
      </c>
      <c r="N400">
        <f t="shared" si="43"/>
        <v>7803.9520000000002</v>
      </c>
      <c r="O400">
        <f t="shared" si="44"/>
        <v>3891.7520000000004</v>
      </c>
      <c r="P400" s="2">
        <f t="shared" si="45"/>
        <v>0.49868989455598911</v>
      </c>
      <c r="Q400" t="str">
        <f t="shared" si="46"/>
        <v>Weekend</v>
      </c>
      <c r="R400" t="str">
        <f t="shared" si="47"/>
        <v>Jan</v>
      </c>
      <c r="S400">
        <f t="shared" si="48"/>
        <v>2024</v>
      </c>
    </row>
    <row r="401" spans="1:19" x14ac:dyDescent="0.25">
      <c r="A401">
        <v>100399</v>
      </c>
      <c r="B401" s="1">
        <v>45067</v>
      </c>
      <c r="C401" t="s">
        <v>27</v>
      </c>
      <c r="D401" t="s">
        <v>230</v>
      </c>
      <c r="E401" t="s">
        <v>255</v>
      </c>
      <c r="F401">
        <v>4</v>
      </c>
      <c r="G401">
        <v>2774.55</v>
      </c>
      <c r="H401">
        <v>30</v>
      </c>
      <c r="I401" t="str">
        <f>IF(Sales[[#This Row],[Discount]]&lt;=10,"0-10%",IF(Sales[[#This Row],[Discount]]&lt;=20,"10-20%","20-30%"))</f>
        <v>20-30%</v>
      </c>
      <c r="J401">
        <v>1203.3</v>
      </c>
      <c r="K401" t="s">
        <v>261</v>
      </c>
      <c r="L401" t="s">
        <v>265</v>
      </c>
      <c r="M401">
        <f t="shared" si="42"/>
        <v>4813.2</v>
      </c>
      <c r="N401">
        <f t="shared" si="43"/>
        <v>7768.74</v>
      </c>
      <c r="O401">
        <f t="shared" si="44"/>
        <v>2955.54</v>
      </c>
      <c r="P401" s="2">
        <f t="shared" si="45"/>
        <v>0.38044007136292374</v>
      </c>
      <c r="Q401" t="str">
        <f t="shared" si="46"/>
        <v>Weekend</v>
      </c>
      <c r="R401" t="str">
        <f t="shared" si="47"/>
        <v>May</v>
      </c>
      <c r="S401">
        <f t="shared" si="48"/>
        <v>2023</v>
      </c>
    </row>
    <row r="402" spans="1:19" x14ac:dyDescent="0.25">
      <c r="A402">
        <v>100400</v>
      </c>
      <c r="B402" s="1">
        <v>44952</v>
      </c>
      <c r="C402" t="s">
        <v>59</v>
      </c>
      <c r="D402" t="s">
        <v>99</v>
      </c>
      <c r="E402" t="s">
        <v>258</v>
      </c>
      <c r="F402">
        <v>2</v>
      </c>
      <c r="G402">
        <v>4150.1899999999996</v>
      </c>
      <c r="H402">
        <v>15</v>
      </c>
      <c r="I402" t="str">
        <f>IF(Sales[[#This Row],[Discount]]&lt;=10,"0-10%",IF(Sales[[#This Row],[Discount]]&lt;=20,"10-20%","20-30%"))</f>
        <v>10-20%</v>
      </c>
      <c r="J402">
        <v>2760.96</v>
      </c>
      <c r="K402" t="s">
        <v>262</v>
      </c>
      <c r="L402" t="s">
        <v>266</v>
      </c>
      <c r="M402">
        <f t="shared" si="42"/>
        <v>5521.92</v>
      </c>
      <c r="N402">
        <f t="shared" si="43"/>
        <v>7055.3229999999994</v>
      </c>
      <c r="O402">
        <f t="shared" si="44"/>
        <v>1533.4029999999993</v>
      </c>
      <c r="P402" s="2">
        <f t="shared" si="45"/>
        <v>0.21733987232051594</v>
      </c>
      <c r="Q402" t="str">
        <f t="shared" si="46"/>
        <v>Weekday</v>
      </c>
      <c r="R402" t="str">
        <f t="shared" si="47"/>
        <v>Jan</v>
      </c>
      <c r="S402">
        <f t="shared" si="48"/>
        <v>2023</v>
      </c>
    </row>
    <row r="403" spans="1:19" x14ac:dyDescent="0.25">
      <c r="A403">
        <v>100401</v>
      </c>
      <c r="B403" s="1">
        <v>45563</v>
      </c>
      <c r="C403" t="s">
        <v>44</v>
      </c>
      <c r="D403" t="s">
        <v>117</v>
      </c>
      <c r="E403" t="s">
        <v>257</v>
      </c>
      <c r="F403">
        <v>3</v>
      </c>
      <c r="G403">
        <v>3171.61</v>
      </c>
      <c r="H403">
        <v>20</v>
      </c>
      <c r="I403" t="str">
        <f>IF(Sales[[#This Row],[Discount]]&lt;=10,"0-10%",IF(Sales[[#This Row],[Discount]]&lt;=20,"10-20%","20-30%"))</f>
        <v>10-20%</v>
      </c>
      <c r="J403">
        <v>1659.73</v>
      </c>
      <c r="K403" t="s">
        <v>261</v>
      </c>
      <c r="L403" t="s">
        <v>267</v>
      </c>
      <c r="M403">
        <f t="shared" si="42"/>
        <v>4979.1900000000005</v>
      </c>
      <c r="N403">
        <f t="shared" si="43"/>
        <v>7611.8640000000005</v>
      </c>
      <c r="O403">
        <f t="shared" si="44"/>
        <v>2632.674</v>
      </c>
      <c r="P403" s="2">
        <f t="shared" si="45"/>
        <v>0.34586456090124573</v>
      </c>
      <c r="Q403" t="str">
        <f t="shared" si="46"/>
        <v>Weekend</v>
      </c>
      <c r="R403" t="str">
        <f t="shared" si="47"/>
        <v>Sep</v>
      </c>
      <c r="S403">
        <f t="shared" si="48"/>
        <v>2024</v>
      </c>
    </row>
    <row r="404" spans="1:19" x14ac:dyDescent="0.25">
      <c r="A404">
        <v>100402</v>
      </c>
      <c r="B404" s="1">
        <v>45219</v>
      </c>
      <c r="C404" t="s">
        <v>31</v>
      </c>
      <c r="D404" t="s">
        <v>103</v>
      </c>
      <c r="E404" t="s">
        <v>255</v>
      </c>
      <c r="F404">
        <v>4</v>
      </c>
      <c r="G404">
        <v>3918.74</v>
      </c>
      <c r="H404">
        <v>30</v>
      </c>
      <c r="I404" t="str">
        <f>IF(Sales[[#This Row],[Discount]]&lt;=10,"0-10%",IF(Sales[[#This Row],[Discount]]&lt;=20,"10-20%","20-30%"))</f>
        <v>20-30%</v>
      </c>
      <c r="J404">
        <v>2221.89</v>
      </c>
      <c r="K404" t="s">
        <v>261</v>
      </c>
      <c r="L404" t="s">
        <v>266</v>
      </c>
      <c r="M404">
        <f t="shared" si="42"/>
        <v>8887.56</v>
      </c>
      <c r="N404">
        <f t="shared" si="43"/>
        <v>10972.471999999998</v>
      </c>
      <c r="O404">
        <f t="shared" si="44"/>
        <v>2084.9119999999984</v>
      </c>
      <c r="P404" s="2">
        <f t="shared" si="45"/>
        <v>0.19001297064143785</v>
      </c>
      <c r="Q404" t="str">
        <f t="shared" si="46"/>
        <v>Weekday</v>
      </c>
      <c r="R404" t="str">
        <f t="shared" si="47"/>
        <v>Oct</v>
      </c>
      <c r="S404">
        <f t="shared" si="48"/>
        <v>2023</v>
      </c>
    </row>
    <row r="405" spans="1:19" x14ac:dyDescent="0.25">
      <c r="A405">
        <v>100403</v>
      </c>
      <c r="B405" s="1">
        <v>45093</v>
      </c>
      <c r="C405" t="s">
        <v>42</v>
      </c>
      <c r="D405" t="s">
        <v>65</v>
      </c>
      <c r="E405" t="s">
        <v>254</v>
      </c>
      <c r="F405">
        <v>2</v>
      </c>
      <c r="G405">
        <v>3740.2</v>
      </c>
      <c r="H405">
        <v>10</v>
      </c>
      <c r="I405" t="str">
        <f>IF(Sales[[#This Row],[Discount]]&lt;=10,"0-10%",IF(Sales[[#This Row],[Discount]]&lt;=20,"10-20%","20-30%"))</f>
        <v>0-10%</v>
      </c>
      <c r="J405">
        <v>2451.15</v>
      </c>
      <c r="K405" t="s">
        <v>261</v>
      </c>
      <c r="L405" t="s">
        <v>266</v>
      </c>
      <c r="M405">
        <f t="shared" si="42"/>
        <v>4902.3</v>
      </c>
      <c r="N405">
        <f t="shared" si="43"/>
        <v>6732.36</v>
      </c>
      <c r="O405">
        <f t="shared" si="44"/>
        <v>1830.0599999999995</v>
      </c>
      <c r="P405" s="2">
        <f t="shared" si="45"/>
        <v>0.27183038340195703</v>
      </c>
      <c r="Q405" t="str">
        <f t="shared" si="46"/>
        <v>Weekday</v>
      </c>
      <c r="R405" t="str">
        <f t="shared" si="47"/>
        <v>Jun</v>
      </c>
      <c r="S405">
        <f t="shared" si="48"/>
        <v>2023</v>
      </c>
    </row>
    <row r="406" spans="1:19" x14ac:dyDescent="0.25">
      <c r="A406">
        <v>100404</v>
      </c>
      <c r="B406" s="1">
        <v>45365</v>
      </c>
      <c r="C406" t="s">
        <v>19</v>
      </c>
      <c r="D406" t="s">
        <v>124</v>
      </c>
      <c r="E406" t="s">
        <v>254</v>
      </c>
      <c r="F406">
        <v>2</v>
      </c>
      <c r="G406">
        <v>3903.28</v>
      </c>
      <c r="H406">
        <v>20</v>
      </c>
      <c r="I406" t="str">
        <f>IF(Sales[[#This Row],[Discount]]&lt;=10,"0-10%",IF(Sales[[#This Row],[Discount]]&lt;=20,"10-20%","20-30%"))</f>
        <v>10-20%</v>
      </c>
      <c r="J406">
        <v>1736.61</v>
      </c>
      <c r="K406" t="s">
        <v>261</v>
      </c>
      <c r="L406" t="s">
        <v>265</v>
      </c>
      <c r="M406">
        <f t="shared" si="42"/>
        <v>3473.22</v>
      </c>
      <c r="N406">
        <f t="shared" si="43"/>
        <v>6245.2480000000005</v>
      </c>
      <c r="O406">
        <f t="shared" si="44"/>
        <v>2772.0280000000007</v>
      </c>
      <c r="P406" s="2">
        <f t="shared" si="45"/>
        <v>0.44386195712324</v>
      </c>
      <c r="Q406" t="str">
        <f t="shared" si="46"/>
        <v>Weekday</v>
      </c>
      <c r="R406" t="str">
        <f t="shared" si="47"/>
        <v>Mar</v>
      </c>
      <c r="S406">
        <f t="shared" si="48"/>
        <v>2024</v>
      </c>
    </row>
    <row r="407" spans="1:19" x14ac:dyDescent="0.25">
      <c r="A407">
        <v>100405</v>
      </c>
      <c r="B407" s="1">
        <v>45599</v>
      </c>
      <c r="C407" t="s">
        <v>20</v>
      </c>
      <c r="D407" t="s">
        <v>230</v>
      </c>
      <c r="E407" t="s">
        <v>257</v>
      </c>
      <c r="F407">
        <v>3</v>
      </c>
      <c r="G407">
        <v>1405.61</v>
      </c>
      <c r="H407">
        <v>30</v>
      </c>
      <c r="I407" t="str">
        <f>IF(Sales[[#This Row],[Discount]]&lt;=10,"0-10%",IF(Sales[[#This Row],[Discount]]&lt;=20,"10-20%","20-30%"))</f>
        <v>20-30%</v>
      </c>
      <c r="J407">
        <v>928.8</v>
      </c>
      <c r="K407" t="s">
        <v>262</v>
      </c>
      <c r="L407" t="s">
        <v>264</v>
      </c>
      <c r="M407">
        <f t="shared" si="42"/>
        <v>2786.3999999999996</v>
      </c>
      <c r="N407">
        <f t="shared" si="43"/>
        <v>2951.7809999999999</v>
      </c>
      <c r="O407">
        <f t="shared" si="44"/>
        <v>165.38100000000031</v>
      </c>
      <c r="P407" s="2">
        <f t="shared" si="45"/>
        <v>5.6027530497689465E-2</v>
      </c>
      <c r="Q407" t="str">
        <f t="shared" si="46"/>
        <v>Weekend</v>
      </c>
      <c r="R407" t="str">
        <f t="shared" si="47"/>
        <v>Nov</v>
      </c>
      <c r="S407">
        <f t="shared" si="48"/>
        <v>2024</v>
      </c>
    </row>
    <row r="408" spans="1:19" x14ac:dyDescent="0.25">
      <c r="A408">
        <v>100406</v>
      </c>
      <c r="B408" s="1">
        <v>45581</v>
      </c>
      <c r="C408" t="s">
        <v>29</v>
      </c>
      <c r="D408" t="s">
        <v>138</v>
      </c>
      <c r="E408" t="s">
        <v>259</v>
      </c>
      <c r="F408">
        <v>1</v>
      </c>
      <c r="G408">
        <v>749.86</v>
      </c>
      <c r="H408">
        <v>20</v>
      </c>
      <c r="I408" t="str">
        <f>IF(Sales[[#This Row],[Discount]]&lt;=10,"0-10%",IF(Sales[[#This Row],[Discount]]&lt;=20,"10-20%","20-30%"))</f>
        <v>10-20%</v>
      </c>
      <c r="J408">
        <v>305.26</v>
      </c>
      <c r="K408" t="s">
        <v>262</v>
      </c>
      <c r="L408" t="s">
        <v>266</v>
      </c>
      <c r="M408">
        <f t="shared" si="42"/>
        <v>305.26</v>
      </c>
      <c r="N408">
        <f t="shared" si="43"/>
        <v>599.88800000000003</v>
      </c>
      <c r="O408">
        <f t="shared" si="44"/>
        <v>294.62800000000004</v>
      </c>
      <c r="P408" s="2">
        <f t="shared" si="45"/>
        <v>0.49113834582455396</v>
      </c>
      <c r="Q408" t="str">
        <f t="shared" si="46"/>
        <v>Weekday</v>
      </c>
      <c r="R408" t="str">
        <f t="shared" si="47"/>
        <v>Oct</v>
      </c>
      <c r="S408">
        <f t="shared" si="48"/>
        <v>2024</v>
      </c>
    </row>
    <row r="409" spans="1:19" x14ac:dyDescent="0.25">
      <c r="A409">
        <v>100407</v>
      </c>
      <c r="B409" s="1">
        <v>45516</v>
      </c>
      <c r="C409" t="s">
        <v>58</v>
      </c>
      <c r="D409" t="s">
        <v>237</v>
      </c>
      <c r="E409" t="s">
        <v>255</v>
      </c>
      <c r="F409">
        <v>4</v>
      </c>
      <c r="G409">
        <v>1269.07</v>
      </c>
      <c r="H409">
        <v>20</v>
      </c>
      <c r="I409" t="str">
        <f>IF(Sales[[#This Row],[Discount]]&lt;=10,"0-10%",IF(Sales[[#This Row],[Discount]]&lt;=20,"10-20%","20-30%"))</f>
        <v>10-20%</v>
      </c>
      <c r="J409">
        <v>750.51</v>
      </c>
      <c r="K409" t="s">
        <v>268</v>
      </c>
      <c r="L409" t="s">
        <v>267</v>
      </c>
      <c r="M409">
        <f t="shared" si="42"/>
        <v>3002.04</v>
      </c>
      <c r="N409">
        <f t="shared" si="43"/>
        <v>4061.0239999999999</v>
      </c>
      <c r="O409">
        <f t="shared" si="44"/>
        <v>1058.9839999999999</v>
      </c>
      <c r="P409" s="2">
        <f t="shared" si="45"/>
        <v>0.26076772754851979</v>
      </c>
      <c r="Q409" t="str">
        <f t="shared" si="46"/>
        <v>Weekday</v>
      </c>
      <c r="R409" t="str">
        <f t="shared" si="47"/>
        <v>Aug</v>
      </c>
      <c r="S409">
        <f t="shared" si="48"/>
        <v>2024</v>
      </c>
    </row>
    <row r="410" spans="1:19" x14ac:dyDescent="0.25">
      <c r="A410">
        <v>100408</v>
      </c>
      <c r="B410" s="1">
        <v>45246</v>
      </c>
      <c r="C410" t="s">
        <v>26</v>
      </c>
      <c r="D410" t="s">
        <v>174</v>
      </c>
      <c r="E410" t="s">
        <v>255</v>
      </c>
      <c r="F410">
        <v>1</v>
      </c>
      <c r="G410">
        <v>574.74</v>
      </c>
      <c r="H410">
        <v>10</v>
      </c>
      <c r="I410" t="str">
        <f>IF(Sales[[#This Row],[Discount]]&lt;=10,"0-10%",IF(Sales[[#This Row],[Discount]]&lt;=20,"10-20%","20-30%"))</f>
        <v>0-10%</v>
      </c>
      <c r="J410">
        <v>254.34</v>
      </c>
      <c r="K410" t="s">
        <v>261</v>
      </c>
      <c r="L410" t="s">
        <v>267</v>
      </c>
      <c r="M410">
        <f t="shared" si="42"/>
        <v>254.34</v>
      </c>
      <c r="N410">
        <f t="shared" si="43"/>
        <v>517.26600000000008</v>
      </c>
      <c r="O410">
        <f t="shared" si="44"/>
        <v>262.92600000000004</v>
      </c>
      <c r="P410" s="2">
        <f t="shared" si="45"/>
        <v>0.50829940494832448</v>
      </c>
      <c r="Q410" t="str">
        <f t="shared" si="46"/>
        <v>Weekday</v>
      </c>
      <c r="R410" t="str">
        <f t="shared" si="47"/>
        <v>Nov</v>
      </c>
      <c r="S410">
        <f t="shared" si="48"/>
        <v>2023</v>
      </c>
    </row>
    <row r="411" spans="1:19" x14ac:dyDescent="0.25">
      <c r="A411">
        <v>100409</v>
      </c>
      <c r="B411" s="1">
        <v>45300</v>
      </c>
      <c r="C411" t="s">
        <v>50</v>
      </c>
      <c r="D411" t="s">
        <v>116</v>
      </c>
      <c r="E411" t="s">
        <v>257</v>
      </c>
      <c r="F411">
        <v>3</v>
      </c>
      <c r="G411">
        <v>3567.18</v>
      </c>
      <c r="H411">
        <v>0</v>
      </c>
      <c r="I411" t="str">
        <f>IF(Sales[[#This Row],[Discount]]&lt;=10,"0-10%",IF(Sales[[#This Row],[Discount]]&lt;=20,"10-20%","20-30%"))</f>
        <v>0-10%</v>
      </c>
      <c r="J411">
        <v>1859.56</v>
      </c>
      <c r="K411" t="s">
        <v>261</v>
      </c>
      <c r="L411" t="s">
        <v>264</v>
      </c>
      <c r="M411">
        <f t="shared" si="42"/>
        <v>5578.68</v>
      </c>
      <c r="N411">
        <f t="shared" si="43"/>
        <v>10701.539999999999</v>
      </c>
      <c r="O411">
        <f t="shared" si="44"/>
        <v>5122.8599999999988</v>
      </c>
      <c r="P411" s="2">
        <f t="shared" si="45"/>
        <v>0.47870306516632177</v>
      </c>
      <c r="Q411" t="str">
        <f t="shared" si="46"/>
        <v>Weekday</v>
      </c>
      <c r="R411" t="str">
        <f t="shared" si="47"/>
        <v>Jan</v>
      </c>
      <c r="S411">
        <f t="shared" si="48"/>
        <v>2024</v>
      </c>
    </row>
    <row r="412" spans="1:19" x14ac:dyDescent="0.25">
      <c r="A412">
        <v>100410</v>
      </c>
      <c r="B412" s="1">
        <v>45206</v>
      </c>
      <c r="C412" t="s">
        <v>18</v>
      </c>
      <c r="D412" t="s">
        <v>66</v>
      </c>
      <c r="E412" t="s">
        <v>254</v>
      </c>
      <c r="F412">
        <v>3</v>
      </c>
      <c r="G412">
        <v>3705.23</v>
      </c>
      <c r="H412">
        <v>30</v>
      </c>
      <c r="I412" t="str">
        <f>IF(Sales[[#This Row],[Discount]]&lt;=10,"0-10%",IF(Sales[[#This Row],[Discount]]&lt;=20,"10-20%","20-30%"))</f>
        <v>20-30%</v>
      </c>
      <c r="J412">
        <v>1499.68</v>
      </c>
      <c r="K412" t="s">
        <v>262</v>
      </c>
      <c r="L412" t="s">
        <v>265</v>
      </c>
      <c r="M412">
        <f t="shared" si="42"/>
        <v>4499.04</v>
      </c>
      <c r="N412">
        <f t="shared" si="43"/>
        <v>7780.9830000000002</v>
      </c>
      <c r="O412">
        <f t="shared" si="44"/>
        <v>3281.9430000000002</v>
      </c>
      <c r="P412" s="2">
        <f t="shared" si="45"/>
        <v>0.42179028022551907</v>
      </c>
      <c r="Q412" t="str">
        <f t="shared" si="46"/>
        <v>Weekend</v>
      </c>
      <c r="R412" t="str">
        <f t="shared" si="47"/>
        <v>Oct</v>
      </c>
      <c r="S412">
        <f t="shared" si="48"/>
        <v>2023</v>
      </c>
    </row>
    <row r="413" spans="1:19" x14ac:dyDescent="0.25">
      <c r="A413">
        <v>100411</v>
      </c>
      <c r="B413" s="1">
        <v>45480</v>
      </c>
      <c r="C413" t="s">
        <v>32</v>
      </c>
      <c r="D413" t="s">
        <v>154</v>
      </c>
      <c r="E413" t="s">
        <v>260</v>
      </c>
      <c r="F413">
        <v>2</v>
      </c>
      <c r="G413">
        <v>789.32</v>
      </c>
      <c r="H413">
        <v>30</v>
      </c>
      <c r="I413" t="str">
        <f>IF(Sales[[#This Row],[Discount]]&lt;=10,"0-10%",IF(Sales[[#This Row],[Discount]]&lt;=20,"10-20%","20-30%"))</f>
        <v>20-30%</v>
      </c>
      <c r="J413">
        <v>487.25</v>
      </c>
      <c r="K413" t="s">
        <v>268</v>
      </c>
      <c r="L413" t="s">
        <v>263</v>
      </c>
      <c r="M413">
        <f t="shared" si="42"/>
        <v>974.5</v>
      </c>
      <c r="N413">
        <f t="shared" si="43"/>
        <v>1105.048</v>
      </c>
      <c r="O413">
        <f t="shared" si="44"/>
        <v>130.548</v>
      </c>
      <c r="P413" s="2">
        <f t="shared" si="45"/>
        <v>0.11813785464522808</v>
      </c>
      <c r="Q413" t="str">
        <f t="shared" si="46"/>
        <v>Weekend</v>
      </c>
      <c r="R413" t="str">
        <f t="shared" si="47"/>
        <v>Jul</v>
      </c>
      <c r="S413">
        <f t="shared" si="48"/>
        <v>2024</v>
      </c>
    </row>
    <row r="414" spans="1:19" x14ac:dyDescent="0.25">
      <c r="A414">
        <v>100412</v>
      </c>
      <c r="B414" s="1">
        <v>45279</v>
      </c>
      <c r="C414" t="s">
        <v>37</v>
      </c>
      <c r="D414" t="s">
        <v>70</v>
      </c>
      <c r="E414" t="s">
        <v>257</v>
      </c>
      <c r="F414">
        <v>3</v>
      </c>
      <c r="G414">
        <v>3931.33</v>
      </c>
      <c r="H414">
        <v>0</v>
      </c>
      <c r="I414" t="str">
        <f>IF(Sales[[#This Row],[Discount]]&lt;=10,"0-10%",IF(Sales[[#This Row],[Discount]]&lt;=20,"10-20%","20-30%"))</f>
        <v>0-10%</v>
      </c>
      <c r="J414">
        <v>1884.95</v>
      </c>
      <c r="K414" t="s">
        <v>268</v>
      </c>
      <c r="L414" t="s">
        <v>267</v>
      </c>
      <c r="M414">
        <f t="shared" si="42"/>
        <v>5654.85</v>
      </c>
      <c r="N414">
        <f t="shared" si="43"/>
        <v>11793.99</v>
      </c>
      <c r="O414">
        <f t="shared" si="44"/>
        <v>6139.1399999999994</v>
      </c>
      <c r="P414" s="2">
        <f t="shared" si="45"/>
        <v>0.52053121971444771</v>
      </c>
      <c r="Q414" t="str">
        <f t="shared" si="46"/>
        <v>Weekday</v>
      </c>
      <c r="R414" t="str">
        <f t="shared" si="47"/>
        <v>Dec</v>
      </c>
      <c r="S414">
        <f t="shared" si="48"/>
        <v>2023</v>
      </c>
    </row>
    <row r="415" spans="1:19" x14ac:dyDescent="0.25">
      <c r="A415">
        <v>100413</v>
      </c>
      <c r="B415" s="1">
        <v>44996</v>
      </c>
      <c r="C415" t="s">
        <v>12</v>
      </c>
      <c r="D415" t="s">
        <v>217</v>
      </c>
      <c r="E415" t="s">
        <v>259</v>
      </c>
      <c r="F415">
        <v>3</v>
      </c>
      <c r="G415">
        <v>2185.58</v>
      </c>
      <c r="H415">
        <v>0</v>
      </c>
      <c r="I415" t="str">
        <f>IF(Sales[[#This Row],[Discount]]&lt;=10,"0-10%",IF(Sales[[#This Row],[Discount]]&lt;=20,"10-20%","20-30%"))</f>
        <v>0-10%</v>
      </c>
      <c r="J415">
        <v>1114.8399999999999</v>
      </c>
      <c r="K415" t="s">
        <v>262</v>
      </c>
      <c r="L415" t="s">
        <v>266</v>
      </c>
      <c r="M415">
        <f t="shared" si="42"/>
        <v>3344.5199999999995</v>
      </c>
      <c r="N415">
        <f t="shared" si="43"/>
        <v>6556.74</v>
      </c>
      <c r="O415">
        <f t="shared" si="44"/>
        <v>3212.2200000000003</v>
      </c>
      <c r="P415" s="2">
        <f t="shared" si="45"/>
        <v>0.48991114486772397</v>
      </c>
      <c r="Q415" t="str">
        <f t="shared" si="46"/>
        <v>Weekend</v>
      </c>
      <c r="R415" t="str">
        <f t="shared" si="47"/>
        <v>Mar</v>
      </c>
      <c r="S415">
        <f t="shared" si="48"/>
        <v>2023</v>
      </c>
    </row>
    <row r="416" spans="1:19" x14ac:dyDescent="0.25">
      <c r="A416">
        <v>100414</v>
      </c>
      <c r="B416" s="1">
        <v>45568</v>
      </c>
      <c r="C416" t="s">
        <v>21</v>
      </c>
      <c r="D416" t="s">
        <v>66</v>
      </c>
      <c r="E416" t="s">
        <v>260</v>
      </c>
      <c r="F416">
        <v>3</v>
      </c>
      <c r="G416">
        <v>626.29</v>
      </c>
      <c r="H416">
        <v>25</v>
      </c>
      <c r="I416" t="str">
        <f>IF(Sales[[#This Row],[Discount]]&lt;=10,"0-10%",IF(Sales[[#This Row],[Discount]]&lt;=20,"10-20%","20-30%"))</f>
        <v>20-30%</v>
      </c>
      <c r="J416">
        <v>348.04</v>
      </c>
      <c r="K416" t="s">
        <v>262</v>
      </c>
      <c r="L416" t="s">
        <v>264</v>
      </c>
      <c r="M416">
        <f t="shared" si="42"/>
        <v>1044.1200000000001</v>
      </c>
      <c r="N416">
        <f t="shared" si="43"/>
        <v>1409.1524999999999</v>
      </c>
      <c r="O416">
        <f t="shared" si="44"/>
        <v>365.0324999999998</v>
      </c>
      <c r="P416" s="2">
        <f t="shared" si="45"/>
        <v>0.25904399985097415</v>
      </c>
      <c r="Q416" t="str">
        <f t="shared" si="46"/>
        <v>Weekday</v>
      </c>
      <c r="R416" t="str">
        <f t="shared" si="47"/>
        <v>Oct</v>
      </c>
      <c r="S416">
        <f t="shared" si="48"/>
        <v>2024</v>
      </c>
    </row>
    <row r="417" spans="1:19" x14ac:dyDescent="0.25">
      <c r="A417">
        <v>100415</v>
      </c>
      <c r="B417" s="1">
        <v>45156</v>
      </c>
      <c r="C417" t="s">
        <v>28</v>
      </c>
      <c r="D417" t="s">
        <v>238</v>
      </c>
      <c r="E417" t="s">
        <v>255</v>
      </c>
      <c r="F417">
        <v>1</v>
      </c>
      <c r="G417">
        <v>628.67999999999995</v>
      </c>
      <c r="H417">
        <v>10</v>
      </c>
      <c r="I417" t="str">
        <f>IF(Sales[[#This Row],[Discount]]&lt;=10,"0-10%",IF(Sales[[#This Row],[Discount]]&lt;=20,"10-20%","20-30%"))</f>
        <v>0-10%</v>
      </c>
      <c r="J417">
        <v>372.21</v>
      </c>
      <c r="K417" t="s">
        <v>261</v>
      </c>
      <c r="L417" t="s">
        <v>266</v>
      </c>
      <c r="M417">
        <f t="shared" si="42"/>
        <v>372.21</v>
      </c>
      <c r="N417">
        <f t="shared" si="43"/>
        <v>565.81200000000001</v>
      </c>
      <c r="O417">
        <f t="shared" si="44"/>
        <v>193.60200000000003</v>
      </c>
      <c r="P417" s="2">
        <f t="shared" si="45"/>
        <v>0.34216665606243774</v>
      </c>
      <c r="Q417" t="str">
        <f t="shared" si="46"/>
        <v>Weekday</v>
      </c>
      <c r="R417" t="str">
        <f t="shared" si="47"/>
        <v>Aug</v>
      </c>
      <c r="S417">
        <f t="shared" si="48"/>
        <v>2023</v>
      </c>
    </row>
    <row r="418" spans="1:19" x14ac:dyDescent="0.25">
      <c r="A418">
        <v>100416</v>
      </c>
      <c r="B418" s="1">
        <v>45185</v>
      </c>
      <c r="C418" t="s">
        <v>17</v>
      </c>
      <c r="D418" t="s">
        <v>83</v>
      </c>
      <c r="E418" t="s">
        <v>259</v>
      </c>
      <c r="F418">
        <v>3</v>
      </c>
      <c r="G418">
        <v>2804.9</v>
      </c>
      <c r="H418">
        <v>0</v>
      </c>
      <c r="I418" t="str">
        <f>IF(Sales[[#This Row],[Discount]]&lt;=10,"0-10%",IF(Sales[[#This Row],[Discount]]&lt;=20,"10-20%","20-30%"))</f>
        <v>0-10%</v>
      </c>
      <c r="J418">
        <v>1394.88</v>
      </c>
      <c r="K418" t="s">
        <v>268</v>
      </c>
      <c r="L418" t="s">
        <v>263</v>
      </c>
      <c r="M418">
        <f t="shared" si="42"/>
        <v>4184.6400000000003</v>
      </c>
      <c r="N418">
        <f t="shared" si="43"/>
        <v>8414.7000000000007</v>
      </c>
      <c r="O418">
        <f t="shared" si="44"/>
        <v>4230.0600000000004</v>
      </c>
      <c r="P418" s="2">
        <f t="shared" si="45"/>
        <v>0.50269884844379475</v>
      </c>
      <c r="Q418" t="str">
        <f t="shared" si="46"/>
        <v>Weekend</v>
      </c>
      <c r="R418" t="str">
        <f t="shared" si="47"/>
        <v>Sep</v>
      </c>
      <c r="S418">
        <f t="shared" si="48"/>
        <v>2023</v>
      </c>
    </row>
    <row r="419" spans="1:19" x14ac:dyDescent="0.25">
      <c r="A419">
        <v>100417</v>
      </c>
      <c r="B419" s="1">
        <v>45540</v>
      </c>
      <c r="C419" t="s">
        <v>30</v>
      </c>
      <c r="D419" t="s">
        <v>174</v>
      </c>
      <c r="E419" t="s">
        <v>258</v>
      </c>
      <c r="F419">
        <v>2</v>
      </c>
      <c r="G419">
        <v>545.99</v>
      </c>
      <c r="H419">
        <v>25</v>
      </c>
      <c r="I419" t="str">
        <f>IF(Sales[[#This Row],[Discount]]&lt;=10,"0-10%",IF(Sales[[#This Row],[Discount]]&lt;=20,"10-20%","20-30%"))</f>
        <v>20-30%</v>
      </c>
      <c r="J419">
        <v>280.39</v>
      </c>
      <c r="K419" t="s">
        <v>268</v>
      </c>
      <c r="L419" t="s">
        <v>266</v>
      </c>
      <c r="M419">
        <f t="shared" si="42"/>
        <v>560.78</v>
      </c>
      <c r="N419">
        <f t="shared" si="43"/>
        <v>818.98500000000001</v>
      </c>
      <c r="O419">
        <f t="shared" si="44"/>
        <v>258.20500000000004</v>
      </c>
      <c r="P419" s="2">
        <f t="shared" si="45"/>
        <v>0.31527439452493028</v>
      </c>
      <c r="Q419" t="str">
        <f t="shared" si="46"/>
        <v>Weekday</v>
      </c>
      <c r="R419" t="str">
        <f t="shared" si="47"/>
        <v>Sep</v>
      </c>
      <c r="S419">
        <f t="shared" si="48"/>
        <v>2024</v>
      </c>
    </row>
    <row r="420" spans="1:19" x14ac:dyDescent="0.25">
      <c r="A420">
        <v>100418</v>
      </c>
      <c r="B420" s="1">
        <v>45588</v>
      </c>
      <c r="C420" t="s">
        <v>44</v>
      </c>
      <c r="D420" t="s">
        <v>72</v>
      </c>
      <c r="E420" t="s">
        <v>259</v>
      </c>
      <c r="F420">
        <v>2</v>
      </c>
      <c r="G420">
        <v>2397.86</v>
      </c>
      <c r="H420">
        <v>15</v>
      </c>
      <c r="I420" t="str">
        <f>IF(Sales[[#This Row],[Discount]]&lt;=10,"0-10%",IF(Sales[[#This Row],[Discount]]&lt;=20,"10-20%","20-30%"))</f>
        <v>10-20%</v>
      </c>
      <c r="J420">
        <v>1199.0999999999999</v>
      </c>
      <c r="K420" t="s">
        <v>268</v>
      </c>
      <c r="L420" t="s">
        <v>263</v>
      </c>
      <c r="M420">
        <f t="shared" si="42"/>
        <v>2398.1999999999998</v>
      </c>
      <c r="N420">
        <f t="shared" si="43"/>
        <v>4076.3620000000001</v>
      </c>
      <c r="O420">
        <f t="shared" si="44"/>
        <v>1678.1620000000003</v>
      </c>
      <c r="P420" s="2">
        <f t="shared" si="45"/>
        <v>0.41168129817714921</v>
      </c>
      <c r="Q420" t="str">
        <f t="shared" si="46"/>
        <v>Weekday</v>
      </c>
      <c r="R420" t="str">
        <f t="shared" si="47"/>
        <v>Oct</v>
      </c>
      <c r="S420">
        <f t="shared" si="48"/>
        <v>2024</v>
      </c>
    </row>
    <row r="421" spans="1:19" x14ac:dyDescent="0.25">
      <c r="A421">
        <v>100419</v>
      </c>
      <c r="B421" s="1">
        <v>45213</v>
      </c>
      <c r="C421" t="s">
        <v>40</v>
      </c>
      <c r="D421" t="s">
        <v>183</v>
      </c>
      <c r="E421" t="s">
        <v>255</v>
      </c>
      <c r="F421">
        <v>2</v>
      </c>
      <c r="G421">
        <v>4800.84</v>
      </c>
      <c r="H421">
        <v>0</v>
      </c>
      <c r="I421" t="str">
        <f>IF(Sales[[#This Row],[Discount]]&lt;=10,"0-10%",IF(Sales[[#This Row],[Discount]]&lt;=20,"10-20%","20-30%"))</f>
        <v>0-10%</v>
      </c>
      <c r="J421">
        <v>2172.8200000000002</v>
      </c>
      <c r="K421" t="s">
        <v>268</v>
      </c>
      <c r="L421" t="s">
        <v>265</v>
      </c>
      <c r="M421">
        <f t="shared" si="42"/>
        <v>4345.6400000000003</v>
      </c>
      <c r="N421">
        <f t="shared" si="43"/>
        <v>9601.68</v>
      </c>
      <c r="O421">
        <f t="shared" si="44"/>
        <v>5256.04</v>
      </c>
      <c r="P421" s="2">
        <f t="shared" si="45"/>
        <v>0.54740837020188127</v>
      </c>
      <c r="Q421" t="str">
        <f t="shared" si="46"/>
        <v>Weekend</v>
      </c>
      <c r="R421" t="str">
        <f t="shared" si="47"/>
        <v>Oct</v>
      </c>
      <c r="S421">
        <f t="shared" si="48"/>
        <v>2023</v>
      </c>
    </row>
    <row r="422" spans="1:19" x14ac:dyDescent="0.25">
      <c r="A422">
        <v>100420</v>
      </c>
      <c r="B422" s="1">
        <v>45596</v>
      </c>
      <c r="C422" t="s">
        <v>34</v>
      </c>
      <c r="D422" t="s">
        <v>229</v>
      </c>
      <c r="E422" t="s">
        <v>258</v>
      </c>
      <c r="F422">
        <v>1</v>
      </c>
      <c r="G422">
        <v>1101.25</v>
      </c>
      <c r="H422">
        <v>20</v>
      </c>
      <c r="I422" t="str">
        <f>IF(Sales[[#This Row],[Discount]]&lt;=10,"0-10%",IF(Sales[[#This Row],[Discount]]&lt;=20,"10-20%","20-30%"))</f>
        <v>10-20%</v>
      </c>
      <c r="J422">
        <v>575.78</v>
      </c>
      <c r="K422" t="s">
        <v>268</v>
      </c>
      <c r="L422" t="s">
        <v>267</v>
      </c>
      <c r="M422">
        <f t="shared" si="42"/>
        <v>575.78</v>
      </c>
      <c r="N422">
        <f t="shared" si="43"/>
        <v>881</v>
      </c>
      <c r="O422">
        <f t="shared" si="44"/>
        <v>305.22000000000003</v>
      </c>
      <c r="P422" s="2">
        <f t="shared" si="45"/>
        <v>0.34644721906923953</v>
      </c>
      <c r="Q422" t="str">
        <f t="shared" si="46"/>
        <v>Weekday</v>
      </c>
      <c r="R422" t="str">
        <f t="shared" si="47"/>
        <v>Oct</v>
      </c>
      <c r="S422">
        <f t="shared" si="48"/>
        <v>2024</v>
      </c>
    </row>
    <row r="423" spans="1:19" x14ac:dyDescent="0.25">
      <c r="A423">
        <v>100421</v>
      </c>
      <c r="B423" s="1">
        <v>45574</v>
      </c>
      <c r="C423" t="s">
        <v>45</v>
      </c>
      <c r="D423" t="s">
        <v>207</v>
      </c>
      <c r="E423" t="s">
        <v>258</v>
      </c>
      <c r="F423">
        <v>3</v>
      </c>
      <c r="G423">
        <v>3853.97</v>
      </c>
      <c r="H423">
        <v>15</v>
      </c>
      <c r="I423" t="str">
        <f>IF(Sales[[#This Row],[Discount]]&lt;=10,"0-10%",IF(Sales[[#This Row],[Discount]]&lt;=20,"10-20%","20-30%"))</f>
        <v>10-20%</v>
      </c>
      <c r="J423">
        <v>1943.45</v>
      </c>
      <c r="K423" t="s">
        <v>268</v>
      </c>
      <c r="L423" t="s">
        <v>267</v>
      </c>
      <c r="M423">
        <f t="shared" si="42"/>
        <v>5830.35</v>
      </c>
      <c r="N423">
        <f t="shared" si="43"/>
        <v>9827.6234999999997</v>
      </c>
      <c r="O423">
        <f t="shared" si="44"/>
        <v>3997.2734999999993</v>
      </c>
      <c r="P423" s="2">
        <f t="shared" si="45"/>
        <v>0.40673856706049022</v>
      </c>
      <c r="Q423" t="str">
        <f t="shared" si="46"/>
        <v>Weekday</v>
      </c>
      <c r="R423" t="str">
        <f t="shared" si="47"/>
        <v>Oct</v>
      </c>
      <c r="S423">
        <f t="shared" si="48"/>
        <v>2024</v>
      </c>
    </row>
    <row r="424" spans="1:19" x14ac:dyDescent="0.25">
      <c r="A424">
        <v>100422</v>
      </c>
      <c r="B424" s="1">
        <v>45553</v>
      </c>
      <c r="C424" t="s">
        <v>44</v>
      </c>
      <c r="D424" t="s">
        <v>180</v>
      </c>
      <c r="E424" t="s">
        <v>256</v>
      </c>
      <c r="F424">
        <v>4</v>
      </c>
      <c r="G424">
        <v>2097.87</v>
      </c>
      <c r="H424">
        <v>15</v>
      </c>
      <c r="I424" t="str">
        <f>IF(Sales[[#This Row],[Discount]]&lt;=10,"0-10%",IF(Sales[[#This Row],[Discount]]&lt;=20,"10-20%","20-30%"))</f>
        <v>10-20%</v>
      </c>
      <c r="J424">
        <v>914.56</v>
      </c>
      <c r="K424" t="s">
        <v>262</v>
      </c>
      <c r="L424" t="s">
        <v>267</v>
      </c>
      <c r="M424">
        <f t="shared" si="42"/>
        <v>3658.24</v>
      </c>
      <c r="N424">
        <f t="shared" si="43"/>
        <v>7132.7579999999998</v>
      </c>
      <c r="O424">
        <f t="shared" si="44"/>
        <v>3474.518</v>
      </c>
      <c r="P424" s="2">
        <f t="shared" si="45"/>
        <v>0.48712125099435594</v>
      </c>
      <c r="Q424" t="str">
        <f t="shared" si="46"/>
        <v>Weekday</v>
      </c>
      <c r="R424" t="str">
        <f t="shared" si="47"/>
        <v>Sep</v>
      </c>
      <c r="S424">
        <f t="shared" si="48"/>
        <v>2024</v>
      </c>
    </row>
    <row r="425" spans="1:19" x14ac:dyDescent="0.25">
      <c r="A425">
        <v>100423</v>
      </c>
      <c r="B425" s="1">
        <v>45290</v>
      </c>
      <c r="C425" t="s">
        <v>51</v>
      </c>
      <c r="D425" t="s">
        <v>239</v>
      </c>
      <c r="E425" t="s">
        <v>255</v>
      </c>
      <c r="F425">
        <v>2</v>
      </c>
      <c r="G425">
        <v>4964.67</v>
      </c>
      <c r="H425">
        <v>10</v>
      </c>
      <c r="I425" t="str">
        <f>IF(Sales[[#This Row],[Discount]]&lt;=10,"0-10%",IF(Sales[[#This Row],[Discount]]&lt;=20,"10-20%","20-30%"))</f>
        <v>0-10%</v>
      </c>
      <c r="J425">
        <v>3366.54</v>
      </c>
      <c r="K425" t="s">
        <v>262</v>
      </c>
      <c r="L425" t="s">
        <v>266</v>
      </c>
      <c r="M425">
        <f t="shared" si="42"/>
        <v>6733.08</v>
      </c>
      <c r="N425">
        <f t="shared" si="43"/>
        <v>8936.4060000000009</v>
      </c>
      <c r="O425">
        <f t="shared" si="44"/>
        <v>2203.3260000000009</v>
      </c>
      <c r="P425" s="2">
        <f t="shared" si="45"/>
        <v>0.24655616586802354</v>
      </c>
      <c r="Q425" t="str">
        <f t="shared" si="46"/>
        <v>Weekend</v>
      </c>
      <c r="R425" t="str">
        <f t="shared" si="47"/>
        <v>Dec</v>
      </c>
      <c r="S425">
        <f t="shared" si="48"/>
        <v>2023</v>
      </c>
    </row>
    <row r="426" spans="1:19" x14ac:dyDescent="0.25">
      <c r="A426">
        <v>100424</v>
      </c>
      <c r="B426" s="1">
        <v>45332</v>
      </c>
      <c r="C426" t="s">
        <v>51</v>
      </c>
      <c r="D426" t="s">
        <v>154</v>
      </c>
      <c r="E426" t="s">
        <v>259</v>
      </c>
      <c r="F426">
        <v>1</v>
      </c>
      <c r="G426">
        <v>3456.32</v>
      </c>
      <c r="H426">
        <v>25</v>
      </c>
      <c r="I426" t="str">
        <f>IF(Sales[[#This Row],[Discount]]&lt;=10,"0-10%",IF(Sales[[#This Row],[Discount]]&lt;=20,"10-20%","20-30%"))</f>
        <v>20-30%</v>
      </c>
      <c r="J426">
        <v>1478.89</v>
      </c>
      <c r="K426" t="s">
        <v>268</v>
      </c>
      <c r="L426" t="s">
        <v>264</v>
      </c>
      <c r="M426">
        <f t="shared" si="42"/>
        <v>1478.89</v>
      </c>
      <c r="N426">
        <f t="shared" si="43"/>
        <v>2592.2400000000002</v>
      </c>
      <c r="O426">
        <f t="shared" si="44"/>
        <v>1113.3500000000001</v>
      </c>
      <c r="P426" s="2">
        <f t="shared" si="45"/>
        <v>0.42949341110391015</v>
      </c>
      <c r="Q426" t="str">
        <f t="shared" si="46"/>
        <v>Weekend</v>
      </c>
      <c r="R426" t="str">
        <f t="shared" si="47"/>
        <v>Feb</v>
      </c>
      <c r="S426">
        <f t="shared" si="48"/>
        <v>2024</v>
      </c>
    </row>
    <row r="427" spans="1:19" x14ac:dyDescent="0.25">
      <c r="A427">
        <v>100425</v>
      </c>
      <c r="B427" s="1">
        <v>45426</v>
      </c>
      <c r="C427" t="s">
        <v>58</v>
      </c>
      <c r="D427" t="s">
        <v>79</v>
      </c>
      <c r="E427" t="s">
        <v>257</v>
      </c>
      <c r="F427">
        <v>1</v>
      </c>
      <c r="G427">
        <v>3159.89</v>
      </c>
      <c r="H427">
        <v>20</v>
      </c>
      <c r="I427" t="str">
        <f>IF(Sales[[#This Row],[Discount]]&lt;=10,"0-10%",IF(Sales[[#This Row],[Discount]]&lt;=20,"10-20%","20-30%"))</f>
        <v>10-20%</v>
      </c>
      <c r="J427">
        <v>1744.42</v>
      </c>
      <c r="K427" t="s">
        <v>262</v>
      </c>
      <c r="L427" t="s">
        <v>263</v>
      </c>
      <c r="M427">
        <f t="shared" si="42"/>
        <v>1744.42</v>
      </c>
      <c r="N427">
        <f t="shared" si="43"/>
        <v>2527.9120000000003</v>
      </c>
      <c r="O427">
        <f t="shared" si="44"/>
        <v>783.49200000000019</v>
      </c>
      <c r="P427" s="2">
        <f t="shared" si="45"/>
        <v>0.30993642183746906</v>
      </c>
      <c r="Q427" t="str">
        <f t="shared" si="46"/>
        <v>Weekday</v>
      </c>
      <c r="R427" t="str">
        <f t="shared" si="47"/>
        <v>May</v>
      </c>
      <c r="S427">
        <f t="shared" si="48"/>
        <v>2024</v>
      </c>
    </row>
    <row r="428" spans="1:19" x14ac:dyDescent="0.25">
      <c r="A428">
        <v>100426</v>
      </c>
      <c r="B428" s="1">
        <v>45504</v>
      </c>
      <c r="C428" t="s">
        <v>36</v>
      </c>
      <c r="D428" t="s">
        <v>189</v>
      </c>
      <c r="E428" t="s">
        <v>256</v>
      </c>
      <c r="F428">
        <v>4</v>
      </c>
      <c r="G428">
        <v>1724.7</v>
      </c>
      <c r="H428">
        <v>25</v>
      </c>
      <c r="I428" t="str">
        <f>IF(Sales[[#This Row],[Discount]]&lt;=10,"0-10%",IF(Sales[[#This Row],[Discount]]&lt;=20,"10-20%","20-30%"))</f>
        <v>20-30%</v>
      </c>
      <c r="J428">
        <v>826.02</v>
      </c>
      <c r="K428" t="s">
        <v>262</v>
      </c>
      <c r="L428" t="s">
        <v>263</v>
      </c>
      <c r="M428">
        <f t="shared" si="42"/>
        <v>3304.08</v>
      </c>
      <c r="N428">
        <f t="shared" si="43"/>
        <v>5174.1000000000004</v>
      </c>
      <c r="O428">
        <f t="shared" si="44"/>
        <v>1870.0200000000004</v>
      </c>
      <c r="P428" s="2">
        <f t="shared" si="45"/>
        <v>0.36141937728300577</v>
      </c>
      <c r="Q428" t="str">
        <f t="shared" si="46"/>
        <v>Weekday</v>
      </c>
      <c r="R428" t="str">
        <f t="shared" si="47"/>
        <v>Jul</v>
      </c>
      <c r="S428">
        <f t="shared" si="48"/>
        <v>2024</v>
      </c>
    </row>
    <row r="429" spans="1:19" x14ac:dyDescent="0.25">
      <c r="A429">
        <v>100427</v>
      </c>
      <c r="B429" s="1">
        <v>45375</v>
      </c>
      <c r="C429" t="s">
        <v>38</v>
      </c>
      <c r="D429" t="s">
        <v>100</v>
      </c>
      <c r="E429" t="s">
        <v>257</v>
      </c>
      <c r="F429">
        <v>1</v>
      </c>
      <c r="G429">
        <v>1927.71</v>
      </c>
      <c r="H429">
        <v>10</v>
      </c>
      <c r="I429" t="str">
        <f>IF(Sales[[#This Row],[Discount]]&lt;=10,"0-10%",IF(Sales[[#This Row],[Discount]]&lt;=20,"10-20%","20-30%"))</f>
        <v>0-10%</v>
      </c>
      <c r="J429">
        <v>909.33</v>
      </c>
      <c r="K429" t="s">
        <v>261</v>
      </c>
      <c r="L429" t="s">
        <v>265</v>
      </c>
      <c r="M429">
        <f t="shared" si="42"/>
        <v>909.33</v>
      </c>
      <c r="N429">
        <f t="shared" si="43"/>
        <v>1734.9390000000001</v>
      </c>
      <c r="O429">
        <f t="shared" si="44"/>
        <v>825.60900000000004</v>
      </c>
      <c r="P429" s="2">
        <f t="shared" si="45"/>
        <v>0.47587206236069396</v>
      </c>
      <c r="Q429" t="str">
        <f t="shared" si="46"/>
        <v>Weekend</v>
      </c>
      <c r="R429" t="str">
        <f t="shared" si="47"/>
        <v>Mar</v>
      </c>
      <c r="S429">
        <f t="shared" si="48"/>
        <v>2024</v>
      </c>
    </row>
    <row r="430" spans="1:19" x14ac:dyDescent="0.25">
      <c r="A430">
        <v>100428</v>
      </c>
      <c r="B430" s="1">
        <v>45122</v>
      </c>
      <c r="C430" t="s">
        <v>15</v>
      </c>
      <c r="D430" t="s">
        <v>151</v>
      </c>
      <c r="E430" t="s">
        <v>260</v>
      </c>
      <c r="F430">
        <v>3</v>
      </c>
      <c r="G430">
        <v>2165.81</v>
      </c>
      <c r="H430">
        <v>25</v>
      </c>
      <c r="I430" t="str">
        <f>IF(Sales[[#This Row],[Discount]]&lt;=10,"0-10%",IF(Sales[[#This Row],[Discount]]&lt;=20,"10-20%","20-30%"))</f>
        <v>20-30%</v>
      </c>
      <c r="J430">
        <v>1156.8900000000001</v>
      </c>
      <c r="K430" t="s">
        <v>261</v>
      </c>
      <c r="L430" t="s">
        <v>267</v>
      </c>
      <c r="M430">
        <f t="shared" si="42"/>
        <v>3470.67</v>
      </c>
      <c r="N430">
        <f t="shared" si="43"/>
        <v>4873.0725000000002</v>
      </c>
      <c r="O430">
        <f t="shared" si="44"/>
        <v>1402.4025000000001</v>
      </c>
      <c r="P430" s="2">
        <f t="shared" si="45"/>
        <v>0.28778609388635201</v>
      </c>
      <c r="Q430" t="str">
        <f t="shared" si="46"/>
        <v>Weekend</v>
      </c>
      <c r="R430" t="str">
        <f t="shared" si="47"/>
        <v>Jul</v>
      </c>
      <c r="S430">
        <f t="shared" si="48"/>
        <v>2023</v>
      </c>
    </row>
    <row r="431" spans="1:19" x14ac:dyDescent="0.25">
      <c r="A431">
        <v>100429</v>
      </c>
      <c r="B431" s="1">
        <v>45268</v>
      </c>
      <c r="C431" t="s">
        <v>45</v>
      </c>
      <c r="D431" t="s">
        <v>213</v>
      </c>
      <c r="E431" t="s">
        <v>259</v>
      </c>
      <c r="F431">
        <v>2</v>
      </c>
      <c r="G431">
        <v>4621.1400000000003</v>
      </c>
      <c r="H431">
        <v>10</v>
      </c>
      <c r="I431" t="str">
        <f>IF(Sales[[#This Row],[Discount]]&lt;=10,"0-10%",IF(Sales[[#This Row],[Discount]]&lt;=20,"10-20%","20-30%"))</f>
        <v>0-10%</v>
      </c>
      <c r="J431">
        <v>2537.42</v>
      </c>
      <c r="K431" t="s">
        <v>262</v>
      </c>
      <c r="L431" t="s">
        <v>266</v>
      </c>
      <c r="M431">
        <f t="shared" si="42"/>
        <v>5074.84</v>
      </c>
      <c r="N431">
        <f t="shared" si="43"/>
        <v>8318.0520000000015</v>
      </c>
      <c r="O431">
        <f t="shared" si="44"/>
        <v>3243.2120000000014</v>
      </c>
      <c r="P431" s="2">
        <f t="shared" si="45"/>
        <v>0.3899004238011497</v>
      </c>
      <c r="Q431" t="str">
        <f t="shared" si="46"/>
        <v>Weekday</v>
      </c>
      <c r="R431" t="str">
        <f t="shared" si="47"/>
        <v>Dec</v>
      </c>
      <c r="S431">
        <f t="shared" si="48"/>
        <v>2023</v>
      </c>
    </row>
    <row r="432" spans="1:19" x14ac:dyDescent="0.25">
      <c r="A432">
        <v>100430</v>
      </c>
      <c r="B432" s="1">
        <v>45487</v>
      </c>
      <c r="C432" t="s">
        <v>51</v>
      </c>
      <c r="D432" t="s">
        <v>137</v>
      </c>
      <c r="E432" t="s">
        <v>254</v>
      </c>
      <c r="F432">
        <v>1</v>
      </c>
      <c r="G432">
        <v>2137.9</v>
      </c>
      <c r="H432">
        <v>30</v>
      </c>
      <c r="I432" t="str">
        <f>IF(Sales[[#This Row],[Discount]]&lt;=10,"0-10%",IF(Sales[[#This Row],[Discount]]&lt;=20,"10-20%","20-30%"))</f>
        <v>20-30%</v>
      </c>
      <c r="J432">
        <v>1176.58</v>
      </c>
      <c r="K432" t="s">
        <v>261</v>
      </c>
      <c r="L432" t="s">
        <v>264</v>
      </c>
      <c r="M432">
        <f t="shared" si="42"/>
        <v>1176.58</v>
      </c>
      <c r="N432">
        <f t="shared" si="43"/>
        <v>1496.53</v>
      </c>
      <c r="O432">
        <f t="shared" si="44"/>
        <v>319.95000000000005</v>
      </c>
      <c r="P432" s="2">
        <f t="shared" si="45"/>
        <v>0.21379457812406036</v>
      </c>
      <c r="Q432" t="str">
        <f t="shared" si="46"/>
        <v>Weekend</v>
      </c>
      <c r="R432" t="str">
        <f t="shared" si="47"/>
        <v>Jul</v>
      </c>
      <c r="S432">
        <f t="shared" si="48"/>
        <v>2024</v>
      </c>
    </row>
    <row r="433" spans="1:19" x14ac:dyDescent="0.25">
      <c r="A433">
        <v>100431</v>
      </c>
      <c r="B433" s="1">
        <v>45142</v>
      </c>
      <c r="C433" t="s">
        <v>34</v>
      </c>
      <c r="D433" t="s">
        <v>105</v>
      </c>
      <c r="E433" t="s">
        <v>255</v>
      </c>
      <c r="F433">
        <v>2</v>
      </c>
      <c r="G433">
        <v>4142.01</v>
      </c>
      <c r="H433">
        <v>30</v>
      </c>
      <c r="I433" t="str">
        <f>IF(Sales[[#This Row],[Discount]]&lt;=10,"0-10%",IF(Sales[[#This Row],[Discount]]&lt;=20,"10-20%","20-30%"))</f>
        <v>20-30%</v>
      </c>
      <c r="J433">
        <v>2129.77</v>
      </c>
      <c r="K433" t="s">
        <v>268</v>
      </c>
      <c r="L433" t="s">
        <v>265</v>
      </c>
      <c r="M433">
        <f t="shared" si="42"/>
        <v>4259.54</v>
      </c>
      <c r="N433">
        <f t="shared" si="43"/>
        <v>5798.8140000000003</v>
      </c>
      <c r="O433">
        <f t="shared" si="44"/>
        <v>1539.2740000000003</v>
      </c>
      <c r="P433" s="2">
        <f t="shared" si="45"/>
        <v>0.26544634816705626</v>
      </c>
      <c r="Q433" t="str">
        <f t="shared" si="46"/>
        <v>Weekday</v>
      </c>
      <c r="R433" t="str">
        <f t="shared" si="47"/>
        <v>Aug</v>
      </c>
      <c r="S433">
        <f t="shared" si="48"/>
        <v>2023</v>
      </c>
    </row>
    <row r="434" spans="1:19" x14ac:dyDescent="0.25">
      <c r="A434">
        <v>100432</v>
      </c>
      <c r="B434" s="1">
        <v>45452</v>
      </c>
      <c r="C434" t="s">
        <v>29</v>
      </c>
      <c r="D434" t="s">
        <v>210</v>
      </c>
      <c r="E434" t="s">
        <v>254</v>
      </c>
      <c r="F434">
        <v>2</v>
      </c>
      <c r="G434">
        <v>4087.85</v>
      </c>
      <c r="H434">
        <v>10</v>
      </c>
      <c r="I434" t="str">
        <f>IF(Sales[[#This Row],[Discount]]&lt;=10,"0-10%",IF(Sales[[#This Row],[Discount]]&lt;=20,"10-20%","20-30%"))</f>
        <v>0-10%</v>
      </c>
      <c r="J434">
        <v>2604</v>
      </c>
      <c r="K434" t="s">
        <v>262</v>
      </c>
      <c r="L434" t="s">
        <v>267</v>
      </c>
      <c r="M434">
        <f t="shared" si="42"/>
        <v>5208</v>
      </c>
      <c r="N434">
        <f t="shared" si="43"/>
        <v>7358.13</v>
      </c>
      <c r="O434">
        <f t="shared" si="44"/>
        <v>2150.13</v>
      </c>
      <c r="P434" s="2">
        <f t="shared" si="45"/>
        <v>0.29221147220829208</v>
      </c>
      <c r="Q434" t="str">
        <f t="shared" si="46"/>
        <v>Weekend</v>
      </c>
      <c r="R434" t="str">
        <f t="shared" si="47"/>
        <v>Jun</v>
      </c>
      <c r="S434">
        <f t="shared" si="48"/>
        <v>2024</v>
      </c>
    </row>
    <row r="435" spans="1:19" x14ac:dyDescent="0.25">
      <c r="A435">
        <v>100433</v>
      </c>
      <c r="B435" s="1">
        <v>45056</v>
      </c>
      <c r="C435" t="s">
        <v>28</v>
      </c>
      <c r="D435" t="s">
        <v>138</v>
      </c>
      <c r="E435" t="s">
        <v>260</v>
      </c>
      <c r="F435">
        <v>3</v>
      </c>
      <c r="G435">
        <v>2194.0100000000002</v>
      </c>
      <c r="H435">
        <v>0</v>
      </c>
      <c r="I435" t="str">
        <f>IF(Sales[[#This Row],[Discount]]&lt;=10,"0-10%",IF(Sales[[#This Row],[Discount]]&lt;=20,"10-20%","20-30%"))</f>
        <v>0-10%</v>
      </c>
      <c r="J435">
        <v>991.82</v>
      </c>
      <c r="K435" t="s">
        <v>261</v>
      </c>
      <c r="L435" t="s">
        <v>263</v>
      </c>
      <c r="M435">
        <f t="shared" si="42"/>
        <v>2975.46</v>
      </c>
      <c r="N435">
        <f t="shared" si="43"/>
        <v>6582.0300000000007</v>
      </c>
      <c r="O435">
        <f t="shared" si="44"/>
        <v>3606.5700000000006</v>
      </c>
      <c r="P435" s="2">
        <f t="shared" si="45"/>
        <v>0.54794189634504864</v>
      </c>
      <c r="Q435" t="str">
        <f t="shared" si="46"/>
        <v>Weekday</v>
      </c>
      <c r="R435" t="str">
        <f t="shared" si="47"/>
        <v>May</v>
      </c>
      <c r="S435">
        <f t="shared" si="48"/>
        <v>2023</v>
      </c>
    </row>
    <row r="436" spans="1:19" x14ac:dyDescent="0.25">
      <c r="A436">
        <v>100434</v>
      </c>
      <c r="B436" s="1">
        <v>45192</v>
      </c>
      <c r="C436" t="s">
        <v>34</v>
      </c>
      <c r="D436" t="s">
        <v>159</v>
      </c>
      <c r="E436" t="s">
        <v>256</v>
      </c>
      <c r="F436">
        <v>2</v>
      </c>
      <c r="G436">
        <v>4799.42</v>
      </c>
      <c r="H436">
        <v>10</v>
      </c>
      <c r="I436" t="str">
        <f>IF(Sales[[#This Row],[Discount]]&lt;=10,"0-10%",IF(Sales[[#This Row],[Discount]]&lt;=20,"10-20%","20-30%"))</f>
        <v>0-10%</v>
      </c>
      <c r="J436">
        <v>2744.85</v>
      </c>
      <c r="K436" t="s">
        <v>261</v>
      </c>
      <c r="L436" t="s">
        <v>264</v>
      </c>
      <c r="M436">
        <f t="shared" si="42"/>
        <v>5489.7</v>
      </c>
      <c r="N436">
        <f t="shared" si="43"/>
        <v>8638.9560000000001</v>
      </c>
      <c r="O436">
        <f t="shared" si="44"/>
        <v>3149.2560000000003</v>
      </c>
      <c r="P436" s="2">
        <f t="shared" si="45"/>
        <v>0.3645412709591298</v>
      </c>
      <c r="Q436" t="str">
        <f t="shared" si="46"/>
        <v>Weekend</v>
      </c>
      <c r="R436" t="str">
        <f t="shared" si="47"/>
        <v>Sep</v>
      </c>
      <c r="S436">
        <f t="shared" si="48"/>
        <v>2023</v>
      </c>
    </row>
    <row r="437" spans="1:19" x14ac:dyDescent="0.25">
      <c r="A437">
        <v>100435</v>
      </c>
      <c r="B437" s="1">
        <v>45090</v>
      </c>
      <c r="C437" t="s">
        <v>44</v>
      </c>
      <c r="D437" t="s">
        <v>168</v>
      </c>
      <c r="E437" t="s">
        <v>260</v>
      </c>
      <c r="F437">
        <v>2</v>
      </c>
      <c r="G437">
        <v>922.87</v>
      </c>
      <c r="H437">
        <v>0</v>
      </c>
      <c r="I437" t="str">
        <f>IF(Sales[[#This Row],[Discount]]&lt;=10,"0-10%",IF(Sales[[#This Row],[Discount]]&lt;=20,"10-20%","20-30%"))</f>
        <v>0-10%</v>
      </c>
      <c r="J437">
        <v>607.80999999999995</v>
      </c>
      <c r="K437" t="s">
        <v>262</v>
      </c>
      <c r="L437" t="s">
        <v>266</v>
      </c>
      <c r="M437">
        <f t="shared" si="42"/>
        <v>1215.6199999999999</v>
      </c>
      <c r="N437">
        <f t="shared" si="43"/>
        <v>1845.74</v>
      </c>
      <c r="O437">
        <f t="shared" si="44"/>
        <v>630.12000000000012</v>
      </c>
      <c r="P437" s="2">
        <f t="shared" si="45"/>
        <v>0.34139152860099481</v>
      </c>
      <c r="Q437" t="str">
        <f t="shared" si="46"/>
        <v>Weekday</v>
      </c>
      <c r="R437" t="str">
        <f t="shared" si="47"/>
        <v>Jun</v>
      </c>
      <c r="S437">
        <f t="shared" si="48"/>
        <v>2023</v>
      </c>
    </row>
    <row r="438" spans="1:19" x14ac:dyDescent="0.25">
      <c r="A438">
        <v>100436</v>
      </c>
      <c r="B438" s="1">
        <v>45164</v>
      </c>
      <c r="C438" t="s">
        <v>25</v>
      </c>
      <c r="D438" t="s">
        <v>116</v>
      </c>
      <c r="E438" t="s">
        <v>258</v>
      </c>
      <c r="F438">
        <v>2</v>
      </c>
      <c r="G438">
        <v>954.23</v>
      </c>
      <c r="H438">
        <v>10</v>
      </c>
      <c r="I438" t="str">
        <f>IF(Sales[[#This Row],[Discount]]&lt;=10,"0-10%",IF(Sales[[#This Row],[Discount]]&lt;=20,"10-20%","20-30%"))</f>
        <v>0-10%</v>
      </c>
      <c r="J438">
        <v>638.84</v>
      </c>
      <c r="K438" t="s">
        <v>268</v>
      </c>
      <c r="L438" t="s">
        <v>263</v>
      </c>
      <c r="M438">
        <f t="shared" si="42"/>
        <v>1277.68</v>
      </c>
      <c r="N438">
        <f t="shared" si="43"/>
        <v>1717.614</v>
      </c>
      <c r="O438">
        <f t="shared" si="44"/>
        <v>439.93399999999997</v>
      </c>
      <c r="P438" s="2">
        <f t="shared" si="45"/>
        <v>0.25613088854655353</v>
      </c>
      <c r="Q438" t="str">
        <f t="shared" si="46"/>
        <v>Weekend</v>
      </c>
      <c r="R438" t="str">
        <f t="shared" si="47"/>
        <v>Aug</v>
      </c>
      <c r="S438">
        <f t="shared" si="48"/>
        <v>2023</v>
      </c>
    </row>
    <row r="439" spans="1:19" x14ac:dyDescent="0.25">
      <c r="A439">
        <v>100437</v>
      </c>
      <c r="B439" s="1">
        <v>44951</v>
      </c>
      <c r="C439" t="s">
        <v>40</v>
      </c>
      <c r="D439" t="s">
        <v>214</v>
      </c>
      <c r="E439" t="s">
        <v>258</v>
      </c>
      <c r="F439">
        <v>4</v>
      </c>
      <c r="G439">
        <v>2662.06</v>
      </c>
      <c r="H439">
        <v>25</v>
      </c>
      <c r="I439" t="str">
        <f>IF(Sales[[#This Row],[Discount]]&lt;=10,"0-10%",IF(Sales[[#This Row],[Discount]]&lt;=20,"10-20%","20-30%"))</f>
        <v>20-30%</v>
      </c>
      <c r="J439">
        <v>1383.2</v>
      </c>
      <c r="K439" t="s">
        <v>262</v>
      </c>
      <c r="L439" t="s">
        <v>266</v>
      </c>
      <c r="M439">
        <f t="shared" si="42"/>
        <v>5532.8</v>
      </c>
      <c r="N439">
        <f t="shared" si="43"/>
        <v>7986.18</v>
      </c>
      <c r="O439">
        <f t="shared" si="44"/>
        <v>2453.38</v>
      </c>
      <c r="P439" s="2">
        <f t="shared" si="45"/>
        <v>0.30720319351680025</v>
      </c>
      <c r="Q439" t="str">
        <f t="shared" si="46"/>
        <v>Weekday</v>
      </c>
      <c r="R439" t="str">
        <f t="shared" si="47"/>
        <v>Jan</v>
      </c>
      <c r="S439">
        <f t="shared" si="48"/>
        <v>2023</v>
      </c>
    </row>
    <row r="440" spans="1:19" x14ac:dyDescent="0.25">
      <c r="A440">
        <v>100438</v>
      </c>
      <c r="B440" s="1">
        <v>45463</v>
      </c>
      <c r="C440" t="s">
        <v>33</v>
      </c>
      <c r="D440" t="s">
        <v>225</v>
      </c>
      <c r="E440" t="s">
        <v>260</v>
      </c>
      <c r="F440">
        <v>1</v>
      </c>
      <c r="G440">
        <v>872.28</v>
      </c>
      <c r="H440">
        <v>15</v>
      </c>
      <c r="I440" t="str">
        <f>IF(Sales[[#This Row],[Discount]]&lt;=10,"0-10%",IF(Sales[[#This Row],[Discount]]&lt;=20,"10-20%","20-30%"))</f>
        <v>10-20%</v>
      </c>
      <c r="J440">
        <v>474.06</v>
      </c>
      <c r="K440" t="s">
        <v>261</v>
      </c>
      <c r="L440" t="s">
        <v>263</v>
      </c>
      <c r="M440">
        <f t="shared" si="42"/>
        <v>474.06</v>
      </c>
      <c r="N440">
        <f t="shared" si="43"/>
        <v>741.43799999999999</v>
      </c>
      <c r="O440">
        <f t="shared" si="44"/>
        <v>267.37799999999999</v>
      </c>
      <c r="P440" s="2">
        <f t="shared" si="45"/>
        <v>0.3606208475961577</v>
      </c>
      <c r="Q440" t="str">
        <f t="shared" si="46"/>
        <v>Weekday</v>
      </c>
      <c r="R440" t="str">
        <f t="shared" si="47"/>
        <v>Jun</v>
      </c>
      <c r="S440">
        <f t="shared" si="48"/>
        <v>2024</v>
      </c>
    </row>
    <row r="441" spans="1:19" x14ac:dyDescent="0.25">
      <c r="A441">
        <v>100439</v>
      </c>
      <c r="B441" s="1">
        <v>45054</v>
      </c>
      <c r="C441" t="s">
        <v>45</v>
      </c>
      <c r="D441" t="s">
        <v>134</v>
      </c>
      <c r="E441" t="s">
        <v>260</v>
      </c>
      <c r="F441">
        <v>4</v>
      </c>
      <c r="G441">
        <v>675.84</v>
      </c>
      <c r="H441">
        <v>20</v>
      </c>
      <c r="I441" t="str">
        <f>IF(Sales[[#This Row],[Discount]]&lt;=10,"0-10%",IF(Sales[[#This Row],[Discount]]&lt;=20,"10-20%","20-30%"))</f>
        <v>10-20%</v>
      </c>
      <c r="J441">
        <v>427.82</v>
      </c>
      <c r="K441" t="s">
        <v>262</v>
      </c>
      <c r="L441" t="s">
        <v>264</v>
      </c>
      <c r="M441">
        <f t="shared" si="42"/>
        <v>1711.28</v>
      </c>
      <c r="N441">
        <f t="shared" si="43"/>
        <v>2162.6880000000001</v>
      </c>
      <c r="O441">
        <f t="shared" si="44"/>
        <v>451.40800000000013</v>
      </c>
      <c r="P441" s="2">
        <f t="shared" si="45"/>
        <v>0.20872543797348489</v>
      </c>
      <c r="Q441" t="str">
        <f t="shared" si="46"/>
        <v>Weekday</v>
      </c>
      <c r="R441" t="str">
        <f t="shared" si="47"/>
        <v>May</v>
      </c>
      <c r="S441">
        <f t="shared" si="48"/>
        <v>2023</v>
      </c>
    </row>
    <row r="442" spans="1:19" x14ac:dyDescent="0.25">
      <c r="A442">
        <v>100440</v>
      </c>
      <c r="B442" s="1">
        <v>45584</v>
      </c>
      <c r="C442" t="s">
        <v>13</v>
      </c>
      <c r="D442" t="s">
        <v>213</v>
      </c>
      <c r="E442" t="s">
        <v>260</v>
      </c>
      <c r="F442">
        <v>4</v>
      </c>
      <c r="G442">
        <v>1765.54</v>
      </c>
      <c r="H442">
        <v>10</v>
      </c>
      <c r="I442" t="str">
        <f>IF(Sales[[#This Row],[Discount]]&lt;=10,"0-10%",IF(Sales[[#This Row],[Discount]]&lt;=20,"10-20%","20-30%"))</f>
        <v>0-10%</v>
      </c>
      <c r="J442">
        <v>974.3</v>
      </c>
      <c r="K442" t="s">
        <v>262</v>
      </c>
      <c r="L442" t="s">
        <v>263</v>
      </c>
      <c r="M442">
        <f t="shared" si="42"/>
        <v>3897.2</v>
      </c>
      <c r="N442">
        <f t="shared" si="43"/>
        <v>6355.9440000000004</v>
      </c>
      <c r="O442">
        <f t="shared" si="44"/>
        <v>2458.7440000000006</v>
      </c>
      <c r="P442" s="2">
        <f t="shared" si="45"/>
        <v>0.38684167135519137</v>
      </c>
      <c r="Q442" t="str">
        <f t="shared" si="46"/>
        <v>Weekend</v>
      </c>
      <c r="R442" t="str">
        <f t="shared" si="47"/>
        <v>Oct</v>
      </c>
      <c r="S442">
        <f t="shared" si="48"/>
        <v>2024</v>
      </c>
    </row>
    <row r="443" spans="1:19" x14ac:dyDescent="0.25">
      <c r="A443">
        <v>100441</v>
      </c>
      <c r="B443" s="1">
        <v>45180</v>
      </c>
      <c r="C443" t="s">
        <v>22</v>
      </c>
      <c r="D443" t="s">
        <v>111</v>
      </c>
      <c r="E443" t="s">
        <v>259</v>
      </c>
      <c r="F443">
        <v>3</v>
      </c>
      <c r="G443">
        <v>3311.88</v>
      </c>
      <c r="H443">
        <v>25</v>
      </c>
      <c r="I443" t="str">
        <f>IF(Sales[[#This Row],[Discount]]&lt;=10,"0-10%",IF(Sales[[#This Row],[Discount]]&lt;=20,"10-20%","20-30%"))</f>
        <v>20-30%</v>
      </c>
      <c r="J443">
        <v>1539.4</v>
      </c>
      <c r="K443" t="s">
        <v>262</v>
      </c>
      <c r="L443" t="s">
        <v>265</v>
      </c>
      <c r="M443">
        <f t="shared" si="42"/>
        <v>4618.2000000000007</v>
      </c>
      <c r="N443">
        <f t="shared" si="43"/>
        <v>7451.73</v>
      </c>
      <c r="O443">
        <f t="shared" si="44"/>
        <v>2833.5299999999988</v>
      </c>
      <c r="P443" s="2">
        <f t="shared" si="45"/>
        <v>0.38025129734974283</v>
      </c>
      <c r="Q443" t="str">
        <f t="shared" si="46"/>
        <v>Weekday</v>
      </c>
      <c r="R443" t="str">
        <f t="shared" si="47"/>
        <v>Sep</v>
      </c>
      <c r="S443">
        <f t="shared" si="48"/>
        <v>2023</v>
      </c>
    </row>
    <row r="444" spans="1:19" x14ac:dyDescent="0.25">
      <c r="A444">
        <v>100442</v>
      </c>
      <c r="B444" s="1">
        <v>45443</v>
      </c>
      <c r="C444" t="s">
        <v>49</v>
      </c>
      <c r="D444" t="s">
        <v>130</v>
      </c>
      <c r="E444" t="s">
        <v>257</v>
      </c>
      <c r="F444">
        <v>4</v>
      </c>
      <c r="G444">
        <v>2014.55</v>
      </c>
      <c r="H444">
        <v>0</v>
      </c>
      <c r="I444" t="str">
        <f>IF(Sales[[#This Row],[Discount]]&lt;=10,"0-10%",IF(Sales[[#This Row],[Discount]]&lt;=20,"10-20%","20-30%"))</f>
        <v>0-10%</v>
      </c>
      <c r="J444">
        <v>1039.3800000000001</v>
      </c>
      <c r="K444" t="s">
        <v>268</v>
      </c>
      <c r="L444" t="s">
        <v>266</v>
      </c>
      <c r="M444">
        <f t="shared" si="42"/>
        <v>4157.5200000000004</v>
      </c>
      <c r="N444">
        <f t="shared" si="43"/>
        <v>8058.2</v>
      </c>
      <c r="O444">
        <f t="shared" si="44"/>
        <v>3900.6799999999994</v>
      </c>
      <c r="P444" s="2">
        <f t="shared" si="45"/>
        <v>0.48406343848502142</v>
      </c>
      <c r="Q444" t="str">
        <f t="shared" si="46"/>
        <v>Weekday</v>
      </c>
      <c r="R444" t="str">
        <f t="shared" si="47"/>
        <v>May</v>
      </c>
      <c r="S444">
        <f t="shared" si="48"/>
        <v>2024</v>
      </c>
    </row>
    <row r="445" spans="1:19" x14ac:dyDescent="0.25">
      <c r="A445">
        <v>100443</v>
      </c>
      <c r="B445" s="1">
        <v>45616</v>
      </c>
      <c r="C445" t="s">
        <v>34</v>
      </c>
      <c r="D445" t="s">
        <v>234</v>
      </c>
      <c r="E445" t="s">
        <v>260</v>
      </c>
      <c r="F445">
        <v>2</v>
      </c>
      <c r="G445">
        <v>1295.25</v>
      </c>
      <c r="H445">
        <v>15</v>
      </c>
      <c r="I445" t="str">
        <f>IF(Sales[[#This Row],[Discount]]&lt;=10,"0-10%",IF(Sales[[#This Row],[Discount]]&lt;=20,"10-20%","20-30%"))</f>
        <v>10-20%</v>
      </c>
      <c r="J445">
        <v>706.4</v>
      </c>
      <c r="K445" t="s">
        <v>261</v>
      </c>
      <c r="L445" t="s">
        <v>264</v>
      </c>
      <c r="M445">
        <f t="shared" si="42"/>
        <v>1412.8</v>
      </c>
      <c r="N445">
        <f t="shared" si="43"/>
        <v>2201.9249999999997</v>
      </c>
      <c r="O445">
        <f t="shared" si="44"/>
        <v>789.12499999999977</v>
      </c>
      <c r="P445" s="2">
        <f t="shared" si="45"/>
        <v>0.35837959966847183</v>
      </c>
      <c r="Q445" t="str">
        <f t="shared" si="46"/>
        <v>Weekday</v>
      </c>
      <c r="R445" t="str">
        <f t="shared" si="47"/>
        <v>Nov</v>
      </c>
      <c r="S445">
        <f t="shared" si="48"/>
        <v>2024</v>
      </c>
    </row>
    <row r="446" spans="1:19" x14ac:dyDescent="0.25">
      <c r="A446">
        <v>100444</v>
      </c>
      <c r="B446" s="1">
        <v>45025</v>
      </c>
      <c r="C446" t="s">
        <v>42</v>
      </c>
      <c r="D446" t="s">
        <v>186</v>
      </c>
      <c r="E446" t="s">
        <v>254</v>
      </c>
      <c r="F446">
        <v>4</v>
      </c>
      <c r="G446">
        <v>1697.57</v>
      </c>
      <c r="H446">
        <v>0</v>
      </c>
      <c r="I446" t="str">
        <f>IF(Sales[[#This Row],[Discount]]&lt;=10,"0-10%",IF(Sales[[#This Row],[Discount]]&lt;=20,"10-20%","20-30%"))</f>
        <v>0-10%</v>
      </c>
      <c r="J446">
        <v>898.19</v>
      </c>
      <c r="K446" t="s">
        <v>268</v>
      </c>
      <c r="L446" t="s">
        <v>266</v>
      </c>
      <c r="M446">
        <f t="shared" si="42"/>
        <v>3592.76</v>
      </c>
      <c r="N446">
        <f t="shared" si="43"/>
        <v>6790.28</v>
      </c>
      <c r="O446">
        <f t="shared" si="44"/>
        <v>3197.5199999999995</v>
      </c>
      <c r="P446" s="2">
        <f t="shared" si="45"/>
        <v>0.47089663460122405</v>
      </c>
      <c r="Q446" t="str">
        <f t="shared" si="46"/>
        <v>Weekend</v>
      </c>
      <c r="R446" t="str">
        <f t="shared" si="47"/>
        <v>Apr</v>
      </c>
      <c r="S446">
        <f t="shared" si="48"/>
        <v>2023</v>
      </c>
    </row>
    <row r="447" spans="1:19" x14ac:dyDescent="0.25">
      <c r="A447">
        <v>100445</v>
      </c>
      <c r="B447" s="1">
        <v>45189</v>
      </c>
      <c r="C447" t="s">
        <v>53</v>
      </c>
      <c r="D447" t="s">
        <v>145</v>
      </c>
      <c r="E447" t="s">
        <v>256</v>
      </c>
      <c r="F447">
        <v>1</v>
      </c>
      <c r="G447">
        <v>3978.67</v>
      </c>
      <c r="H447">
        <v>20</v>
      </c>
      <c r="I447" t="str">
        <f>IF(Sales[[#This Row],[Discount]]&lt;=10,"0-10%",IF(Sales[[#This Row],[Discount]]&lt;=20,"10-20%","20-30%"))</f>
        <v>10-20%</v>
      </c>
      <c r="J447">
        <v>1908.23</v>
      </c>
      <c r="K447" t="s">
        <v>268</v>
      </c>
      <c r="L447" t="s">
        <v>267</v>
      </c>
      <c r="M447">
        <f t="shared" si="42"/>
        <v>1908.23</v>
      </c>
      <c r="N447">
        <f t="shared" si="43"/>
        <v>3182.9360000000001</v>
      </c>
      <c r="O447">
        <f t="shared" si="44"/>
        <v>1274.7060000000001</v>
      </c>
      <c r="P447" s="2">
        <f t="shared" si="45"/>
        <v>0.40048119095074486</v>
      </c>
      <c r="Q447" t="str">
        <f t="shared" si="46"/>
        <v>Weekday</v>
      </c>
      <c r="R447" t="str">
        <f t="shared" si="47"/>
        <v>Sep</v>
      </c>
      <c r="S447">
        <f t="shared" si="48"/>
        <v>2023</v>
      </c>
    </row>
    <row r="448" spans="1:19" x14ac:dyDescent="0.25">
      <c r="A448">
        <v>100446</v>
      </c>
      <c r="B448" s="1">
        <v>45541</v>
      </c>
      <c r="C448" t="s">
        <v>43</v>
      </c>
      <c r="D448" t="s">
        <v>185</v>
      </c>
      <c r="E448" t="s">
        <v>259</v>
      </c>
      <c r="F448">
        <v>4</v>
      </c>
      <c r="G448">
        <v>592.77</v>
      </c>
      <c r="H448">
        <v>20</v>
      </c>
      <c r="I448" t="str">
        <f>IF(Sales[[#This Row],[Discount]]&lt;=10,"0-10%",IF(Sales[[#This Row],[Discount]]&lt;=20,"10-20%","20-30%"))</f>
        <v>10-20%</v>
      </c>
      <c r="J448">
        <v>327.7</v>
      </c>
      <c r="K448" t="s">
        <v>268</v>
      </c>
      <c r="L448" t="s">
        <v>265</v>
      </c>
      <c r="M448">
        <f t="shared" si="42"/>
        <v>1310.8</v>
      </c>
      <c r="N448">
        <f t="shared" si="43"/>
        <v>1896.864</v>
      </c>
      <c r="O448">
        <f t="shared" si="44"/>
        <v>586.06400000000008</v>
      </c>
      <c r="P448" s="2">
        <f t="shared" si="45"/>
        <v>0.30896469119557335</v>
      </c>
      <c r="Q448" t="str">
        <f t="shared" si="46"/>
        <v>Weekday</v>
      </c>
      <c r="R448" t="str">
        <f t="shared" si="47"/>
        <v>Sep</v>
      </c>
      <c r="S448">
        <f t="shared" si="48"/>
        <v>2024</v>
      </c>
    </row>
    <row r="449" spans="1:19" x14ac:dyDescent="0.25">
      <c r="A449">
        <v>100447</v>
      </c>
      <c r="B449" s="1">
        <v>45147</v>
      </c>
      <c r="C449" t="s">
        <v>56</v>
      </c>
      <c r="D449" t="s">
        <v>81</v>
      </c>
      <c r="E449" t="s">
        <v>255</v>
      </c>
      <c r="F449">
        <v>1</v>
      </c>
      <c r="G449">
        <v>1393.43</v>
      </c>
      <c r="H449">
        <v>10</v>
      </c>
      <c r="I449" t="str">
        <f>IF(Sales[[#This Row],[Discount]]&lt;=10,"0-10%",IF(Sales[[#This Row],[Discount]]&lt;=20,"10-20%","20-30%"))</f>
        <v>0-10%</v>
      </c>
      <c r="J449">
        <v>649.66999999999996</v>
      </c>
      <c r="K449" t="s">
        <v>261</v>
      </c>
      <c r="L449" t="s">
        <v>267</v>
      </c>
      <c r="M449">
        <f t="shared" si="42"/>
        <v>649.66999999999996</v>
      </c>
      <c r="N449">
        <f t="shared" si="43"/>
        <v>1254.087</v>
      </c>
      <c r="O449">
        <f t="shared" si="44"/>
        <v>604.41700000000003</v>
      </c>
      <c r="P449" s="2">
        <f t="shared" si="45"/>
        <v>0.48195779080717688</v>
      </c>
      <c r="Q449" t="str">
        <f t="shared" si="46"/>
        <v>Weekday</v>
      </c>
      <c r="R449" t="str">
        <f t="shared" si="47"/>
        <v>Aug</v>
      </c>
      <c r="S449">
        <f t="shared" si="48"/>
        <v>2023</v>
      </c>
    </row>
    <row r="450" spans="1:19" x14ac:dyDescent="0.25">
      <c r="A450">
        <v>100448</v>
      </c>
      <c r="B450" s="1">
        <v>44989</v>
      </c>
      <c r="C450" t="s">
        <v>57</v>
      </c>
      <c r="D450" t="s">
        <v>203</v>
      </c>
      <c r="E450" t="s">
        <v>260</v>
      </c>
      <c r="F450">
        <v>4</v>
      </c>
      <c r="G450">
        <v>2777.09</v>
      </c>
      <c r="H450">
        <v>15</v>
      </c>
      <c r="I450" t="str">
        <f>IF(Sales[[#This Row],[Discount]]&lt;=10,"0-10%",IF(Sales[[#This Row],[Discount]]&lt;=20,"10-20%","20-30%"))</f>
        <v>10-20%</v>
      </c>
      <c r="J450">
        <v>1465.82</v>
      </c>
      <c r="K450" t="s">
        <v>262</v>
      </c>
      <c r="L450" t="s">
        <v>266</v>
      </c>
      <c r="M450">
        <f t="shared" si="42"/>
        <v>5863.28</v>
      </c>
      <c r="N450">
        <f t="shared" si="43"/>
        <v>9442.1059999999998</v>
      </c>
      <c r="O450">
        <f t="shared" si="44"/>
        <v>3578.826</v>
      </c>
      <c r="P450" s="2">
        <f t="shared" si="45"/>
        <v>0.37902836507025023</v>
      </c>
      <c r="Q450" t="str">
        <f t="shared" si="46"/>
        <v>Weekend</v>
      </c>
      <c r="R450" t="str">
        <f t="shared" si="47"/>
        <v>Mar</v>
      </c>
      <c r="S450">
        <f t="shared" si="48"/>
        <v>2023</v>
      </c>
    </row>
    <row r="451" spans="1:19" x14ac:dyDescent="0.25">
      <c r="A451">
        <v>100449</v>
      </c>
      <c r="B451" s="1">
        <v>45445</v>
      </c>
      <c r="C451" t="s">
        <v>50</v>
      </c>
      <c r="D451" t="s">
        <v>240</v>
      </c>
      <c r="E451" t="s">
        <v>257</v>
      </c>
      <c r="F451">
        <v>3</v>
      </c>
      <c r="G451">
        <v>2413.9899999999998</v>
      </c>
      <c r="H451">
        <v>25</v>
      </c>
      <c r="I451" t="str">
        <f>IF(Sales[[#This Row],[Discount]]&lt;=10,"0-10%",IF(Sales[[#This Row],[Discount]]&lt;=20,"10-20%","20-30%"))</f>
        <v>20-30%</v>
      </c>
      <c r="J451">
        <v>1106.54</v>
      </c>
      <c r="K451" t="s">
        <v>261</v>
      </c>
      <c r="L451" t="s">
        <v>267</v>
      </c>
      <c r="M451">
        <f t="shared" ref="M451:M514" si="49">F451*J451</f>
        <v>3319.62</v>
      </c>
      <c r="N451">
        <f t="shared" ref="N451:N514" si="50">F451*G451*(1-H451/100)</f>
        <v>5431.4774999999991</v>
      </c>
      <c r="O451">
        <f t="shared" ref="O451:O514" si="51">N451-M451</f>
        <v>2111.8574999999992</v>
      </c>
      <c r="P451" s="2">
        <f t="shared" ref="P451:P514" si="52">O451/N451</f>
        <v>0.38881823592199349</v>
      </c>
      <c r="Q451" t="str">
        <f t="shared" ref="Q451:Q514" si="53">IF(WEEKDAY(B451,2)&gt;5,"Weekend","Weekday")</f>
        <v>Weekend</v>
      </c>
      <c r="R451" t="str">
        <f t="shared" ref="R451:R514" si="54">TEXT(B451,"mmm")</f>
        <v>Jun</v>
      </c>
      <c r="S451">
        <f t="shared" ref="S451:S514" si="55">YEAR(B451)</f>
        <v>2024</v>
      </c>
    </row>
    <row r="452" spans="1:19" x14ac:dyDescent="0.25">
      <c r="A452">
        <v>100450</v>
      </c>
      <c r="B452" s="1">
        <v>45524</v>
      </c>
      <c r="C452" t="s">
        <v>17</v>
      </c>
      <c r="D452" t="s">
        <v>161</v>
      </c>
      <c r="E452" t="s">
        <v>258</v>
      </c>
      <c r="F452">
        <v>4</v>
      </c>
      <c r="G452">
        <v>2563.6799999999998</v>
      </c>
      <c r="H452">
        <v>10</v>
      </c>
      <c r="I452" t="str">
        <f>IF(Sales[[#This Row],[Discount]]&lt;=10,"0-10%",IF(Sales[[#This Row],[Discount]]&lt;=20,"10-20%","20-30%"))</f>
        <v>0-10%</v>
      </c>
      <c r="J452">
        <v>1161.52</v>
      </c>
      <c r="K452" t="s">
        <v>268</v>
      </c>
      <c r="L452" t="s">
        <v>264</v>
      </c>
      <c r="M452">
        <f t="shared" si="49"/>
        <v>4646.08</v>
      </c>
      <c r="N452">
        <f t="shared" si="50"/>
        <v>9229.2479999999996</v>
      </c>
      <c r="O452">
        <f t="shared" si="51"/>
        <v>4583.1679999999997</v>
      </c>
      <c r="P452" s="2">
        <f t="shared" si="52"/>
        <v>0.49659170497964727</v>
      </c>
      <c r="Q452" t="str">
        <f t="shared" si="53"/>
        <v>Weekday</v>
      </c>
      <c r="R452" t="str">
        <f t="shared" si="54"/>
        <v>Aug</v>
      </c>
      <c r="S452">
        <f t="shared" si="55"/>
        <v>2024</v>
      </c>
    </row>
    <row r="453" spans="1:19" x14ac:dyDescent="0.25">
      <c r="A453">
        <v>100451</v>
      </c>
      <c r="B453" s="1">
        <v>45331</v>
      </c>
      <c r="C453" t="s">
        <v>29</v>
      </c>
      <c r="D453" t="s">
        <v>225</v>
      </c>
      <c r="E453" t="s">
        <v>256</v>
      </c>
      <c r="F453">
        <v>2</v>
      </c>
      <c r="G453">
        <v>1468.33</v>
      </c>
      <c r="H453">
        <v>5</v>
      </c>
      <c r="I453" t="str">
        <f>IF(Sales[[#This Row],[Discount]]&lt;=10,"0-10%",IF(Sales[[#This Row],[Discount]]&lt;=20,"10-20%","20-30%"))</f>
        <v>0-10%</v>
      </c>
      <c r="J453">
        <v>646.27</v>
      </c>
      <c r="K453" t="s">
        <v>261</v>
      </c>
      <c r="L453" t="s">
        <v>265</v>
      </c>
      <c r="M453">
        <f t="shared" si="49"/>
        <v>1292.54</v>
      </c>
      <c r="N453">
        <f t="shared" si="50"/>
        <v>2789.8269999999998</v>
      </c>
      <c r="O453">
        <f t="shared" si="51"/>
        <v>1497.2869999999998</v>
      </c>
      <c r="P453" s="2">
        <f t="shared" si="52"/>
        <v>0.5366952861234765</v>
      </c>
      <c r="Q453" t="str">
        <f t="shared" si="53"/>
        <v>Weekday</v>
      </c>
      <c r="R453" t="str">
        <f t="shared" si="54"/>
        <v>Feb</v>
      </c>
      <c r="S453">
        <f t="shared" si="55"/>
        <v>2024</v>
      </c>
    </row>
    <row r="454" spans="1:19" x14ac:dyDescent="0.25">
      <c r="A454">
        <v>100452</v>
      </c>
      <c r="B454" s="1">
        <v>45349</v>
      </c>
      <c r="C454" t="s">
        <v>56</v>
      </c>
      <c r="D454" t="s">
        <v>161</v>
      </c>
      <c r="E454" t="s">
        <v>256</v>
      </c>
      <c r="F454">
        <v>1</v>
      </c>
      <c r="G454">
        <v>3873.36</v>
      </c>
      <c r="H454">
        <v>20</v>
      </c>
      <c r="I454" t="str">
        <f>IF(Sales[[#This Row],[Discount]]&lt;=10,"0-10%",IF(Sales[[#This Row],[Discount]]&lt;=20,"10-20%","20-30%"))</f>
        <v>10-20%</v>
      </c>
      <c r="J454">
        <v>1708.67</v>
      </c>
      <c r="K454" t="s">
        <v>262</v>
      </c>
      <c r="L454" t="s">
        <v>265</v>
      </c>
      <c r="M454">
        <f t="shared" si="49"/>
        <v>1708.67</v>
      </c>
      <c r="N454">
        <f t="shared" si="50"/>
        <v>3098.6880000000001</v>
      </c>
      <c r="O454">
        <f t="shared" si="51"/>
        <v>1390.018</v>
      </c>
      <c r="P454" s="2">
        <f t="shared" si="52"/>
        <v>0.44858275502406181</v>
      </c>
      <c r="Q454" t="str">
        <f t="shared" si="53"/>
        <v>Weekday</v>
      </c>
      <c r="R454" t="str">
        <f t="shared" si="54"/>
        <v>Feb</v>
      </c>
      <c r="S454">
        <f t="shared" si="55"/>
        <v>2024</v>
      </c>
    </row>
    <row r="455" spans="1:19" x14ac:dyDescent="0.25">
      <c r="A455">
        <v>100453</v>
      </c>
      <c r="B455" s="1">
        <v>45419</v>
      </c>
      <c r="C455" t="s">
        <v>59</v>
      </c>
      <c r="D455" t="s">
        <v>241</v>
      </c>
      <c r="E455" t="s">
        <v>255</v>
      </c>
      <c r="F455">
        <v>1</v>
      </c>
      <c r="G455">
        <v>1820.45</v>
      </c>
      <c r="H455">
        <v>0</v>
      </c>
      <c r="I455" t="str">
        <f>IF(Sales[[#This Row],[Discount]]&lt;=10,"0-10%",IF(Sales[[#This Row],[Discount]]&lt;=20,"10-20%","20-30%"))</f>
        <v>0-10%</v>
      </c>
      <c r="J455">
        <v>1183.82</v>
      </c>
      <c r="K455" t="s">
        <v>268</v>
      </c>
      <c r="L455" t="s">
        <v>267</v>
      </c>
      <c r="M455">
        <f t="shared" si="49"/>
        <v>1183.82</v>
      </c>
      <c r="N455">
        <f t="shared" si="50"/>
        <v>1820.45</v>
      </c>
      <c r="O455">
        <f t="shared" si="51"/>
        <v>636.63000000000011</v>
      </c>
      <c r="P455" s="2">
        <f t="shared" si="52"/>
        <v>0.34971023647999128</v>
      </c>
      <c r="Q455" t="str">
        <f t="shared" si="53"/>
        <v>Weekday</v>
      </c>
      <c r="R455" t="str">
        <f t="shared" si="54"/>
        <v>May</v>
      </c>
      <c r="S455">
        <f t="shared" si="55"/>
        <v>2024</v>
      </c>
    </row>
    <row r="456" spans="1:19" x14ac:dyDescent="0.25">
      <c r="A456">
        <v>100454</v>
      </c>
      <c r="B456" s="1">
        <v>45391</v>
      </c>
      <c r="C456" t="s">
        <v>25</v>
      </c>
      <c r="D456" t="s">
        <v>66</v>
      </c>
      <c r="E456" t="s">
        <v>257</v>
      </c>
      <c r="F456">
        <v>2</v>
      </c>
      <c r="G456">
        <v>603.70000000000005</v>
      </c>
      <c r="H456">
        <v>15</v>
      </c>
      <c r="I456" t="str">
        <f>IF(Sales[[#This Row],[Discount]]&lt;=10,"0-10%",IF(Sales[[#This Row],[Discount]]&lt;=20,"10-20%","20-30%"))</f>
        <v>10-20%</v>
      </c>
      <c r="J456">
        <v>249.2</v>
      </c>
      <c r="K456" t="s">
        <v>261</v>
      </c>
      <c r="L456" t="s">
        <v>264</v>
      </c>
      <c r="M456">
        <f t="shared" si="49"/>
        <v>498.4</v>
      </c>
      <c r="N456">
        <f t="shared" si="50"/>
        <v>1026.29</v>
      </c>
      <c r="O456">
        <f t="shared" si="51"/>
        <v>527.89</v>
      </c>
      <c r="P456" s="2">
        <f t="shared" si="52"/>
        <v>0.51436728410098509</v>
      </c>
      <c r="Q456" t="str">
        <f t="shared" si="53"/>
        <v>Weekday</v>
      </c>
      <c r="R456" t="str">
        <f t="shared" si="54"/>
        <v>Apr</v>
      </c>
      <c r="S456">
        <f t="shared" si="55"/>
        <v>2024</v>
      </c>
    </row>
    <row r="457" spans="1:19" x14ac:dyDescent="0.25">
      <c r="A457">
        <v>100455</v>
      </c>
      <c r="B457" s="1">
        <v>45109</v>
      </c>
      <c r="C457" t="s">
        <v>52</v>
      </c>
      <c r="D457" t="s">
        <v>123</v>
      </c>
      <c r="E457" t="s">
        <v>257</v>
      </c>
      <c r="F457">
        <v>3</v>
      </c>
      <c r="G457">
        <v>2435.5700000000002</v>
      </c>
      <c r="H457">
        <v>25</v>
      </c>
      <c r="I457" t="str">
        <f>IF(Sales[[#This Row],[Discount]]&lt;=10,"0-10%",IF(Sales[[#This Row],[Discount]]&lt;=20,"10-20%","20-30%"))</f>
        <v>20-30%</v>
      </c>
      <c r="J457">
        <v>1591.18</v>
      </c>
      <c r="K457" t="s">
        <v>262</v>
      </c>
      <c r="L457" t="s">
        <v>267</v>
      </c>
      <c r="M457">
        <f t="shared" si="49"/>
        <v>4773.54</v>
      </c>
      <c r="N457">
        <f t="shared" si="50"/>
        <v>5480.0325000000012</v>
      </c>
      <c r="O457">
        <f t="shared" si="51"/>
        <v>706.4925000000012</v>
      </c>
      <c r="P457" s="2">
        <f t="shared" si="52"/>
        <v>0.12892122446354123</v>
      </c>
      <c r="Q457" t="str">
        <f t="shared" si="53"/>
        <v>Weekend</v>
      </c>
      <c r="R457" t="str">
        <f t="shared" si="54"/>
        <v>Jul</v>
      </c>
      <c r="S457">
        <f t="shared" si="55"/>
        <v>2023</v>
      </c>
    </row>
    <row r="458" spans="1:19" x14ac:dyDescent="0.25">
      <c r="A458">
        <v>100456</v>
      </c>
      <c r="B458" s="1">
        <v>45550</v>
      </c>
      <c r="C458" t="s">
        <v>42</v>
      </c>
      <c r="D458" t="s">
        <v>242</v>
      </c>
      <c r="E458" t="s">
        <v>258</v>
      </c>
      <c r="F458">
        <v>2</v>
      </c>
      <c r="G458">
        <v>897.84</v>
      </c>
      <c r="H458">
        <v>0</v>
      </c>
      <c r="I458" t="str">
        <f>IF(Sales[[#This Row],[Discount]]&lt;=10,"0-10%",IF(Sales[[#This Row],[Discount]]&lt;=20,"10-20%","20-30%"))</f>
        <v>0-10%</v>
      </c>
      <c r="J458">
        <v>592.03</v>
      </c>
      <c r="K458" t="s">
        <v>261</v>
      </c>
      <c r="L458" t="s">
        <v>265</v>
      </c>
      <c r="M458">
        <f t="shared" si="49"/>
        <v>1184.06</v>
      </c>
      <c r="N458">
        <f t="shared" si="50"/>
        <v>1795.68</v>
      </c>
      <c r="O458">
        <f t="shared" si="51"/>
        <v>611.62000000000012</v>
      </c>
      <c r="P458" s="2">
        <f t="shared" si="52"/>
        <v>0.34060634411476437</v>
      </c>
      <c r="Q458" t="str">
        <f t="shared" si="53"/>
        <v>Weekend</v>
      </c>
      <c r="R458" t="str">
        <f t="shared" si="54"/>
        <v>Sep</v>
      </c>
      <c r="S458">
        <f t="shared" si="55"/>
        <v>2024</v>
      </c>
    </row>
    <row r="459" spans="1:19" x14ac:dyDescent="0.25">
      <c r="A459">
        <v>100457</v>
      </c>
      <c r="B459" s="1">
        <v>45348</v>
      </c>
      <c r="C459" t="s">
        <v>30</v>
      </c>
      <c r="D459" t="s">
        <v>137</v>
      </c>
      <c r="E459" t="s">
        <v>260</v>
      </c>
      <c r="F459">
        <v>4</v>
      </c>
      <c r="G459">
        <v>4110.22</v>
      </c>
      <c r="H459">
        <v>5</v>
      </c>
      <c r="I459" t="str">
        <f>IF(Sales[[#This Row],[Discount]]&lt;=10,"0-10%",IF(Sales[[#This Row],[Discount]]&lt;=20,"10-20%","20-30%"))</f>
        <v>0-10%</v>
      </c>
      <c r="J459">
        <v>2401.29</v>
      </c>
      <c r="K459" t="s">
        <v>261</v>
      </c>
      <c r="L459" t="s">
        <v>263</v>
      </c>
      <c r="M459">
        <f t="shared" si="49"/>
        <v>9605.16</v>
      </c>
      <c r="N459">
        <f t="shared" si="50"/>
        <v>15618.835999999999</v>
      </c>
      <c r="O459">
        <f t="shared" si="51"/>
        <v>6013.6759999999995</v>
      </c>
      <c r="P459" s="2">
        <f t="shared" si="52"/>
        <v>0.38502715567280427</v>
      </c>
      <c r="Q459" t="str">
        <f t="shared" si="53"/>
        <v>Weekday</v>
      </c>
      <c r="R459" t="str">
        <f t="shared" si="54"/>
        <v>Feb</v>
      </c>
      <c r="S459">
        <f t="shared" si="55"/>
        <v>2024</v>
      </c>
    </row>
    <row r="460" spans="1:19" x14ac:dyDescent="0.25">
      <c r="A460">
        <v>100458</v>
      </c>
      <c r="B460" s="1">
        <v>45118</v>
      </c>
      <c r="C460" t="s">
        <v>13</v>
      </c>
      <c r="D460" t="s">
        <v>198</v>
      </c>
      <c r="E460" t="s">
        <v>258</v>
      </c>
      <c r="F460">
        <v>1</v>
      </c>
      <c r="G460">
        <v>4794.24</v>
      </c>
      <c r="H460">
        <v>15</v>
      </c>
      <c r="I460" t="str">
        <f>IF(Sales[[#This Row],[Discount]]&lt;=10,"0-10%",IF(Sales[[#This Row],[Discount]]&lt;=20,"10-20%","20-30%"))</f>
        <v>10-20%</v>
      </c>
      <c r="J460">
        <v>2109.19</v>
      </c>
      <c r="K460" t="s">
        <v>262</v>
      </c>
      <c r="L460" t="s">
        <v>265</v>
      </c>
      <c r="M460">
        <f t="shared" si="49"/>
        <v>2109.19</v>
      </c>
      <c r="N460">
        <f t="shared" si="50"/>
        <v>4075.1039999999998</v>
      </c>
      <c r="O460">
        <f t="shared" si="51"/>
        <v>1965.9139999999998</v>
      </c>
      <c r="P460" s="2">
        <f t="shared" si="52"/>
        <v>0.48242057135228938</v>
      </c>
      <c r="Q460" t="str">
        <f t="shared" si="53"/>
        <v>Weekday</v>
      </c>
      <c r="R460" t="str">
        <f t="shared" si="54"/>
        <v>Jul</v>
      </c>
      <c r="S460">
        <f t="shared" si="55"/>
        <v>2023</v>
      </c>
    </row>
    <row r="461" spans="1:19" x14ac:dyDescent="0.25">
      <c r="A461">
        <v>100459</v>
      </c>
      <c r="B461" s="1">
        <v>45498</v>
      </c>
      <c r="C461" t="s">
        <v>42</v>
      </c>
      <c r="D461" t="s">
        <v>77</v>
      </c>
      <c r="E461" t="s">
        <v>260</v>
      </c>
      <c r="F461">
        <v>4</v>
      </c>
      <c r="G461">
        <v>1782.41</v>
      </c>
      <c r="H461">
        <v>20</v>
      </c>
      <c r="I461" t="str">
        <f>IF(Sales[[#This Row],[Discount]]&lt;=10,"0-10%",IF(Sales[[#This Row],[Discount]]&lt;=20,"10-20%","20-30%"))</f>
        <v>10-20%</v>
      </c>
      <c r="J461">
        <v>1080.93</v>
      </c>
      <c r="K461" t="s">
        <v>268</v>
      </c>
      <c r="L461" t="s">
        <v>267</v>
      </c>
      <c r="M461">
        <f t="shared" si="49"/>
        <v>4323.72</v>
      </c>
      <c r="N461">
        <f t="shared" si="50"/>
        <v>5703.7120000000004</v>
      </c>
      <c r="O461">
        <f t="shared" si="51"/>
        <v>1379.9920000000002</v>
      </c>
      <c r="P461" s="2">
        <f t="shared" si="52"/>
        <v>0.2419462974287622</v>
      </c>
      <c r="Q461" t="str">
        <f t="shared" si="53"/>
        <v>Weekday</v>
      </c>
      <c r="R461" t="str">
        <f t="shared" si="54"/>
        <v>Jul</v>
      </c>
      <c r="S461">
        <f t="shared" si="55"/>
        <v>2024</v>
      </c>
    </row>
    <row r="462" spans="1:19" x14ac:dyDescent="0.25">
      <c r="A462">
        <v>100460</v>
      </c>
      <c r="B462" s="1">
        <v>45158</v>
      </c>
      <c r="C462" t="s">
        <v>27</v>
      </c>
      <c r="D462" t="s">
        <v>132</v>
      </c>
      <c r="E462" t="s">
        <v>259</v>
      </c>
      <c r="F462">
        <v>1</v>
      </c>
      <c r="G462">
        <v>1613.03</v>
      </c>
      <c r="H462">
        <v>20</v>
      </c>
      <c r="I462" t="str">
        <f>IF(Sales[[#This Row],[Discount]]&lt;=10,"0-10%",IF(Sales[[#This Row],[Discount]]&lt;=20,"10-20%","20-30%"))</f>
        <v>10-20%</v>
      </c>
      <c r="J462">
        <v>1095.4000000000001</v>
      </c>
      <c r="K462" t="s">
        <v>262</v>
      </c>
      <c r="L462" t="s">
        <v>267</v>
      </c>
      <c r="M462">
        <f t="shared" si="49"/>
        <v>1095.4000000000001</v>
      </c>
      <c r="N462">
        <f t="shared" si="50"/>
        <v>1290.424</v>
      </c>
      <c r="O462">
        <f t="shared" si="51"/>
        <v>195.02399999999989</v>
      </c>
      <c r="P462" s="2">
        <f t="shared" si="52"/>
        <v>0.15113172104672565</v>
      </c>
      <c r="Q462" t="str">
        <f t="shared" si="53"/>
        <v>Weekend</v>
      </c>
      <c r="R462" t="str">
        <f t="shared" si="54"/>
        <v>Aug</v>
      </c>
      <c r="S462">
        <f t="shared" si="55"/>
        <v>2023</v>
      </c>
    </row>
    <row r="463" spans="1:19" x14ac:dyDescent="0.25">
      <c r="A463">
        <v>100461</v>
      </c>
      <c r="B463" s="1">
        <v>45652</v>
      </c>
      <c r="C463" t="s">
        <v>46</v>
      </c>
      <c r="D463" t="s">
        <v>208</v>
      </c>
      <c r="E463" t="s">
        <v>254</v>
      </c>
      <c r="F463">
        <v>4</v>
      </c>
      <c r="G463">
        <v>3294.85</v>
      </c>
      <c r="H463">
        <v>10</v>
      </c>
      <c r="I463" t="str">
        <f>IF(Sales[[#This Row],[Discount]]&lt;=10,"0-10%",IF(Sales[[#This Row],[Discount]]&lt;=20,"10-20%","20-30%"))</f>
        <v>0-10%</v>
      </c>
      <c r="J463">
        <v>1969.68</v>
      </c>
      <c r="K463" t="s">
        <v>261</v>
      </c>
      <c r="L463" t="s">
        <v>267</v>
      </c>
      <c r="M463">
        <f t="shared" si="49"/>
        <v>7878.72</v>
      </c>
      <c r="N463">
        <f t="shared" si="50"/>
        <v>11861.46</v>
      </c>
      <c r="O463">
        <f t="shared" si="51"/>
        <v>3982.7399999999989</v>
      </c>
      <c r="P463" s="2">
        <f t="shared" si="52"/>
        <v>0.33577148175688315</v>
      </c>
      <c r="Q463" t="str">
        <f t="shared" si="53"/>
        <v>Weekday</v>
      </c>
      <c r="R463" t="str">
        <f t="shared" si="54"/>
        <v>Dec</v>
      </c>
      <c r="S463">
        <f t="shared" si="55"/>
        <v>2024</v>
      </c>
    </row>
    <row r="464" spans="1:19" x14ac:dyDescent="0.25">
      <c r="A464">
        <v>100462</v>
      </c>
      <c r="B464" s="1">
        <v>45099</v>
      </c>
      <c r="C464" t="s">
        <v>47</v>
      </c>
      <c r="D464" t="s">
        <v>124</v>
      </c>
      <c r="E464" t="s">
        <v>255</v>
      </c>
      <c r="F464">
        <v>3</v>
      </c>
      <c r="G464">
        <v>4480.1400000000003</v>
      </c>
      <c r="H464">
        <v>25</v>
      </c>
      <c r="I464" t="str">
        <f>IF(Sales[[#This Row],[Discount]]&lt;=10,"0-10%",IF(Sales[[#This Row],[Discount]]&lt;=20,"10-20%","20-30%"))</f>
        <v>20-30%</v>
      </c>
      <c r="J464">
        <v>2397.71</v>
      </c>
      <c r="K464" t="s">
        <v>262</v>
      </c>
      <c r="L464" t="s">
        <v>264</v>
      </c>
      <c r="M464">
        <f t="shared" si="49"/>
        <v>7193.13</v>
      </c>
      <c r="N464">
        <f t="shared" si="50"/>
        <v>10080.315000000002</v>
      </c>
      <c r="O464">
        <f t="shared" si="51"/>
        <v>2887.1850000000022</v>
      </c>
      <c r="P464" s="2">
        <f t="shared" si="52"/>
        <v>0.28641813276668454</v>
      </c>
      <c r="Q464" t="str">
        <f t="shared" si="53"/>
        <v>Weekday</v>
      </c>
      <c r="R464" t="str">
        <f t="shared" si="54"/>
        <v>Jun</v>
      </c>
      <c r="S464">
        <f t="shared" si="55"/>
        <v>2023</v>
      </c>
    </row>
    <row r="465" spans="1:19" x14ac:dyDescent="0.25">
      <c r="A465">
        <v>100463</v>
      </c>
      <c r="B465" s="1">
        <v>44934</v>
      </c>
      <c r="C465" t="s">
        <v>32</v>
      </c>
      <c r="D465" t="s">
        <v>237</v>
      </c>
      <c r="E465" t="s">
        <v>260</v>
      </c>
      <c r="F465">
        <v>4</v>
      </c>
      <c r="G465">
        <v>4944.8900000000003</v>
      </c>
      <c r="H465">
        <v>15</v>
      </c>
      <c r="I465" t="str">
        <f>IF(Sales[[#This Row],[Discount]]&lt;=10,"0-10%",IF(Sales[[#This Row],[Discount]]&lt;=20,"10-20%","20-30%"))</f>
        <v>10-20%</v>
      </c>
      <c r="J465">
        <v>2635.54</v>
      </c>
      <c r="K465" t="s">
        <v>261</v>
      </c>
      <c r="L465" t="s">
        <v>265</v>
      </c>
      <c r="M465">
        <f t="shared" si="49"/>
        <v>10542.16</v>
      </c>
      <c r="N465">
        <f t="shared" si="50"/>
        <v>16812.626</v>
      </c>
      <c r="O465">
        <f t="shared" si="51"/>
        <v>6270.4660000000003</v>
      </c>
      <c r="P465" s="2">
        <f t="shared" si="52"/>
        <v>0.37296172531286903</v>
      </c>
      <c r="Q465" t="str">
        <f t="shared" si="53"/>
        <v>Weekend</v>
      </c>
      <c r="R465" t="str">
        <f t="shared" si="54"/>
        <v>Jan</v>
      </c>
      <c r="S465">
        <f t="shared" si="55"/>
        <v>2023</v>
      </c>
    </row>
    <row r="466" spans="1:19" x14ac:dyDescent="0.25">
      <c r="A466">
        <v>100464</v>
      </c>
      <c r="B466" s="1">
        <v>45547</v>
      </c>
      <c r="C466" t="s">
        <v>36</v>
      </c>
      <c r="D466" t="s">
        <v>190</v>
      </c>
      <c r="E466" t="s">
        <v>255</v>
      </c>
      <c r="F466">
        <v>4</v>
      </c>
      <c r="G466">
        <v>698.52</v>
      </c>
      <c r="H466">
        <v>30</v>
      </c>
      <c r="I466" t="str">
        <f>IF(Sales[[#This Row],[Discount]]&lt;=10,"0-10%",IF(Sales[[#This Row],[Discount]]&lt;=20,"10-20%","20-30%"))</f>
        <v>20-30%</v>
      </c>
      <c r="J466">
        <v>429.52</v>
      </c>
      <c r="K466" t="s">
        <v>268</v>
      </c>
      <c r="L466" t="s">
        <v>266</v>
      </c>
      <c r="M466">
        <f t="shared" si="49"/>
        <v>1718.08</v>
      </c>
      <c r="N466">
        <f t="shared" si="50"/>
        <v>1955.8559999999998</v>
      </c>
      <c r="O466">
        <f t="shared" si="51"/>
        <v>237.77599999999984</v>
      </c>
      <c r="P466" s="2">
        <f t="shared" si="52"/>
        <v>0.12157132222413096</v>
      </c>
      <c r="Q466" t="str">
        <f t="shared" si="53"/>
        <v>Weekday</v>
      </c>
      <c r="R466" t="str">
        <f t="shared" si="54"/>
        <v>Sep</v>
      </c>
      <c r="S466">
        <f t="shared" si="55"/>
        <v>2024</v>
      </c>
    </row>
    <row r="467" spans="1:19" x14ac:dyDescent="0.25">
      <c r="A467">
        <v>100465</v>
      </c>
      <c r="B467" s="1">
        <v>45074</v>
      </c>
      <c r="C467" t="s">
        <v>12</v>
      </c>
      <c r="D467" t="s">
        <v>132</v>
      </c>
      <c r="E467" t="s">
        <v>259</v>
      </c>
      <c r="F467">
        <v>4</v>
      </c>
      <c r="G467">
        <v>795.23</v>
      </c>
      <c r="H467">
        <v>5</v>
      </c>
      <c r="I467" t="str">
        <f>IF(Sales[[#This Row],[Discount]]&lt;=10,"0-10%",IF(Sales[[#This Row],[Discount]]&lt;=20,"10-20%","20-30%"))</f>
        <v>0-10%</v>
      </c>
      <c r="J467">
        <v>326.58</v>
      </c>
      <c r="K467" t="s">
        <v>261</v>
      </c>
      <c r="L467" t="s">
        <v>266</v>
      </c>
      <c r="M467">
        <f t="shared" si="49"/>
        <v>1306.32</v>
      </c>
      <c r="N467">
        <f t="shared" si="50"/>
        <v>3021.8739999999998</v>
      </c>
      <c r="O467">
        <f t="shared" si="51"/>
        <v>1715.5539999999999</v>
      </c>
      <c r="P467" s="2">
        <f t="shared" si="52"/>
        <v>0.56771195622319126</v>
      </c>
      <c r="Q467" t="str">
        <f t="shared" si="53"/>
        <v>Weekend</v>
      </c>
      <c r="R467" t="str">
        <f t="shared" si="54"/>
        <v>May</v>
      </c>
      <c r="S467">
        <f t="shared" si="55"/>
        <v>2023</v>
      </c>
    </row>
    <row r="468" spans="1:19" x14ac:dyDescent="0.25">
      <c r="A468">
        <v>100466</v>
      </c>
      <c r="B468" s="1">
        <v>45577</v>
      </c>
      <c r="C468" t="s">
        <v>15</v>
      </c>
      <c r="D468" t="s">
        <v>163</v>
      </c>
      <c r="E468" t="s">
        <v>258</v>
      </c>
      <c r="F468">
        <v>4</v>
      </c>
      <c r="G468">
        <v>1960.28</v>
      </c>
      <c r="H468">
        <v>25</v>
      </c>
      <c r="I468" t="str">
        <f>IF(Sales[[#This Row],[Discount]]&lt;=10,"0-10%",IF(Sales[[#This Row],[Discount]]&lt;=20,"10-20%","20-30%"))</f>
        <v>20-30%</v>
      </c>
      <c r="J468">
        <v>958.5</v>
      </c>
      <c r="K468" t="s">
        <v>262</v>
      </c>
      <c r="L468" t="s">
        <v>263</v>
      </c>
      <c r="M468">
        <f t="shared" si="49"/>
        <v>3834</v>
      </c>
      <c r="N468">
        <f t="shared" si="50"/>
        <v>5880.84</v>
      </c>
      <c r="O468">
        <f t="shared" si="51"/>
        <v>2046.8400000000001</v>
      </c>
      <c r="P468" s="2">
        <f t="shared" si="52"/>
        <v>0.34805231905646133</v>
      </c>
      <c r="Q468" t="str">
        <f t="shared" si="53"/>
        <v>Weekend</v>
      </c>
      <c r="R468" t="str">
        <f t="shared" si="54"/>
        <v>Oct</v>
      </c>
      <c r="S468">
        <f t="shared" si="55"/>
        <v>2024</v>
      </c>
    </row>
    <row r="469" spans="1:19" x14ac:dyDescent="0.25">
      <c r="A469">
        <v>100467</v>
      </c>
      <c r="B469" s="1">
        <v>45489</v>
      </c>
      <c r="C469" t="s">
        <v>36</v>
      </c>
      <c r="D469" t="s">
        <v>89</v>
      </c>
      <c r="E469" t="s">
        <v>259</v>
      </c>
      <c r="F469">
        <v>3</v>
      </c>
      <c r="G469">
        <v>4728.88</v>
      </c>
      <c r="H469">
        <v>30</v>
      </c>
      <c r="I469" t="str">
        <f>IF(Sales[[#This Row],[Discount]]&lt;=10,"0-10%",IF(Sales[[#This Row],[Discount]]&lt;=20,"10-20%","20-30%"))</f>
        <v>20-30%</v>
      </c>
      <c r="J469">
        <v>3003.56</v>
      </c>
      <c r="K469" t="s">
        <v>262</v>
      </c>
      <c r="L469" t="s">
        <v>265</v>
      </c>
      <c r="M469">
        <f t="shared" si="49"/>
        <v>9010.68</v>
      </c>
      <c r="N469">
        <f t="shared" si="50"/>
        <v>9930.6479999999992</v>
      </c>
      <c r="O469">
        <f t="shared" si="51"/>
        <v>919.96799999999894</v>
      </c>
      <c r="P469" s="2">
        <f t="shared" si="52"/>
        <v>9.2639271878330501E-2</v>
      </c>
      <c r="Q469" t="str">
        <f t="shared" si="53"/>
        <v>Weekday</v>
      </c>
      <c r="R469" t="str">
        <f t="shared" si="54"/>
        <v>Jul</v>
      </c>
      <c r="S469">
        <f t="shared" si="55"/>
        <v>2024</v>
      </c>
    </row>
    <row r="470" spans="1:19" x14ac:dyDescent="0.25">
      <c r="A470">
        <v>100468</v>
      </c>
      <c r="B470" s="1">
        <v>45446</v>
      </c>
      <c r="C470" t="s">
        <v>51</v>
      </c>
      <c r="D470" t="s">
        <v>167</v>
      </c>
      <c r="E470" t="s">
        <v>258</v>
      </c>
      <c r="F470">
        <v>1</v>
      </c>
      <c r="G470">
        <v>2883.2</v>
      </c>
      <c r="H470">
        <v>10</v>
      </c>
      <c r="I470" t="str">
        <f>IF(Sales[[#This Row],[Discount]]&lt;=10,"0-10%",IF(Sales[[#This Row],[Discount]]&lt;=20,"10-20%","20-30%"))</f>
        <v>0-10%</v>
      </c>
      <c r="J470">
        <v>1871.66</v>
      </c>
      <c r="K470" t="s">
        <v>261</v>
      </c>
      <c r="L470" t="s">
        <v>264</v>
      </c>
      <c r="M470">
        <f t="shared" si="49"/>
        <v>1871.66</v>
      </c>
      <c r="N470">
        <f t="shared" si="50"/>
        <v>2594.88</v>
      </c>
      <c r="O470">
        <f t="shared" si="51"/>
        <v>723.22</v>
      </c>
      <c r="P470" s="2">
        <f t="shared" si="52"/>
        <v>0.27871038352447897</v>
      </c>
      <c r="Q470" t="str">
        <f t="shared" si="53"/>
        <v>Weekday</v>
      </c>
      <c r="R470" t="str">
        <f t="shared" si="54"/>
        <v>Jun</v>
      </c>
      <c r="S470">
        <f t="shared" si="55"/>
        <v>2024</v>
      </c>
    </row>
    <row r="471" spans="1:19" x14ac:dyDescent="0.25">
      <c r="A471">
        <v>100469</v>
      </c>
      <c r="B471" s="1">
        <v>45146</v>
      </c>
      <c r="C471" t="s">
        <v>37</v>
      </c>
      <c r="D471" t="s">
        <v>76</v>
      </c>
      <c r="E471" t="s">
        <v>260</v>
      </c>
      <c r="F471">
        <v>2</v>
      </c>
      <c r="G471">
        <v>398.44</v>
      </c>
      <c r="H471">
        <v>0</v>
      </c>
      <c r="I471" t="str">
        <f>IF(Sales[[#This Row],[Discount]]&lt;=10,"0-10%",IF(Sales[[#This Row],[Discount]]&lt;=20,"10-20%","20-30%"))</f>
        <v>0-10%</v>
      </c>
      <c r="J471">
        <v>169.2</v>
      </c>
      <c r="K471" t="s">
        <v>268</v>
      </c>
      <c r="L471" t="s">
        <v>263</v>
      </c>
      <c r="M471">
        <f t="shared" si="49"/>
        <v>338.4</v>
      </c>
      <c r="N471">
        <f t="shared" si="50"/>
        <v>796.88</v>
      </c>
      <c r="O471">
        <f t="shared" si="51"/>
        <v>458.48</v>
      </c>
      <c r="P471" s="2">
        <f t="shared" si="52"/>
        <v>0.57534384097982127</v>
      </c>
      <c r="Q471" t="str">
        <f t="shared" si="53"/>
        <v>Weekday</v>
      </c>
      <c r="R471" t="str">
        <f t="shared" si="54"/>
        <v>Aug</v>
      </c>
      <c r="S471">
        <f t="shared" si="55"/>
        <v>2023</v>
      </c>
    </row>
    <row r="472" spans="1:19" x14ac:dyDescent="0.25">
      <c r="A472">
        <v>100470</v>
      </c>
      <c r="B472" s="1">
        <v>45255</v>
      </c>
      <c r="C472" t="s">
        <v>45</v>
      </c>
      <c r="D472" t="s">
        <v>102</v>
      </c>
      <c r="E472" t="s">
        <v>258</v>
      </c>
      <c r="F472">
        <v>3</v>
      </c>
      <c r="G472">
        <v>3977.68</v>
      </c>
      <c r="H472">
        <v>25</v>
      </c>
      <c r="I472" t="str">
        <f>IF(Sales[[#This Row],[Discount]]&lt;=10,"0-10%",IF(Sales[[#This Row],[Discount]]&lt;=20,"10-20%","20-30%"))</f>
        <v>20-30%</v>
      </c>
      <c r="J472">
        <v>1862.96</v>
      </c>
      <c r="K472" t="s">
        <v>262</v>
      </c>
      <c r="L472" t="s">
        <v>267</v>
      </c>
      <c r="M472">
        <f t="shared" si="49"/>
        <v>5588.88</v>
      </c>
      <c r="N472">
        <f t="shared" si="50"/>
        <v>8949.7799999999988</v>
      </c>
      <c r="O472">
        <f t="shared" si="51"/>
        <v>3360.8999999999987</v>
      </c>
      <c r="P472" s="2">
        <f t="shared" si="52"/>
        <v>0.37552878394776174</v>
      </c>
      <c r="Q472" t="str">
        <f t="shared" si="53"/>
        <v>Weekend</v>
      </c>
      <c r="R472" t="str">
        <f t="shared" si="54"/>
        <v>Nov</v>
      </c>
      <c r="S472">
        <f t="shared" si="55"/>
        <v>2023</v>
      </c>
    </row>
    <row r="473" spans="1:19" x14ac:dyDescent="0.25">
      <c r="A473">
        <v>100471</v>
      </c>
      <c r="B473" s="1">
        <v>45308</v>
      </c>
      <c r="C473" t="s">
        <v>13</v>
      </c>
      <c r="D473" t="s">
        <v>103</v>
      </c>
      <c r="E473" t="s">
        <v>258</v>
      </c>
      <c r="F473">
        <v>3</v>
      </c>
      <c r="G473">
        <v>1266.73</v>
      </c>
      <c r="H473">
        <v>20</v>
      </c>
      <c r="I473" t="str">
        <f>IF(Sales[[#This Row],[Discount]]&lt;=10,"0-10%",IF(Sales[[#This Row],[Discount]]&lt;=20,"10-20%","20-30%"))</f>
        <v>10-20%</v>
      </c>
      <c r="J473">
        <v>552.82000000000005</v>
      </c>
      <c r="K473" t="s">
        <v>268</v>
      </c>
      <c r="L473" t="s">
        <v>264</v>
      </c>
      <c r="M473">
        <f t="shared" si="49"/>
        <v>1658.46</v>
      </c>
      <c r="N473">
        <f t="shared" si="50"/>
        <v>3040.152</v>
      </c>
      <c r="O473">
        <f t="shared" si="51"/>
        <v>1381.692</v>
      </c>
      <c r="P473" s="2">
        <f t="shared" si="52"/>
        <v>0.45448122330725571</v>
      </c>
      <c r="Q473" t="str">
        <f t="shared" si="53"/>
        <v>Weekday</v>
      </c>
      <c r="R473" t="str">
        <f t="shared" si="54"/>
        <v>Jan</v>
      </c>
      <c r="S473">
        <f t="shared" si="55"/>
        <v>2024</v>
      </c>
    </row>
    <row r="474" spans="1:19" x14ac:dyDescent="0.25">
      <c r="A474">
        <v>100472</v>
      </c>
      <c r="B474" s="1">
        <v>45045</v>
      </c>
      <c r="C474" t="s">
        <v>51</v>
      </c>
      <c r="D474" t="s">
        <v>73</v>
      </c>
      <c r="E474" t="s">
        <v>260</v>
      </c>
      <c r="F474">
        <v>2</v>
      </c>
      <c r="G474">
        <v>625.5</v>
      </c>
      <c r="H474">
        <v>0</v>
      </c>
      <c r="I474" t="str">
        <f>IF(Sales[[#This Row],[Discount]]&lt;=10,"0-10%",IF(Sales[[#This Row],[Discount]]&lt;=20,"10-20%","20-30%"))</f>
        <v>0-10%</v>
      </c>
      <c r="J474">
        <v>430.31</v>
      </c>
      <c r="K474" t="s">
        <v>261</v>
      </c>
      <c r="L474" t="s">
        <v>267</v>
      </c>
      <c r="M474">
        <f t="shared" si="49"/>
        <v>860.62</v>
      </c>
      <c r="N474">
        <f t="shared" si="50"/>
        <v>1251</v>
      </c>
      <c r="O474">
        <f t="shared" si="51"/>
        <v>390.38</v>
      </c>
      <c r="P474" s="2">
        <f t="shared" si="52"/>
        <v>0.31205435651478819</v>
      </c>
      <c r="Q474" t="str">
        <f t="shared" si="53"/>
        <v>Weekend</v>
      </c>
      <c r="R474" t="str">
        <f t="shared" si="54"/>
        <v>Apr</v>
      </c>
      <c r="S474">
        <f t="shared" si="55"/>
        <v>2023</v>
      </c>
    </row>
    <row r="475" spans="1:19" x14ac:dyDescent="0.25">
      <c r="A475">
        <v>100473</v>
      </c>
      <c r="B475" s="1">
        <v>45578</v>
      </c>
      <c r="C475" t="s">
        <v>32</v>
      </c>
      <c r="D475" t="s">
        <v>243</v>
      </c>
      <c r="E475" t="s">
        <v>258</v>
      </c>
      <c r="F475">
        <v>3</v>
      </c>
      <c r="G475">
        <v>4851.8999999999996</v>
      </c>
      <c r="H475">
        <v>0</v>
      </c>
      <c r="I475" t="str">
        <f>IF(Sales[[#This Row],[Discount]]&lt;=10,"0-10%",IF(Sales[[#This Row],[Discount]]&lt;=20,"10-20%","20-30%"))</f>
        <v>0-10%</v>
      </c>
      <c r="J475">
        <v>3103.34</v>
      </c>
      <c r="K475" t="s">
        <v>268</v>
      </c>
      <c r="L475" t="s">
        <v>265</v>
      </c>
      <c r="M475">
        <f t="shared" si="49"/>
        <v>9310.02</v>
      </c>
      <c r="N475">
        <f t="shared" si="50"/>
        <v>14555.699999999999</v>
      </c>
      <c r="O475">
        <f t="shared" si="51"/>
        <v>5245.6799999999985</v>
      </c>
      <c r="P475" s="2">
        <f t="shared" si="52"/>
        <v>0.36038665265153852</v>
      </c>
      <c r="Q475" t="str">
        <f t="shared" si="53"/>
        <v>Weekend</v>
      </c>
      <c r="R475" t="str">
        <f t="shared" si="54"/>
        <v>Oct</v>
      </c>
      <c r="S475">
        <f t="shared" si="55"/>
        <v>2024</v>
      </c>
    </row>
    <row r="476" spans="1:19" x14ac:dyDescent="0.25">
      <c r="A476">
        <v>100474</v>
      </c>
      <c r="B476" s="1">
        <v>45086</v>
      </c>
      <c r="C476" t="s">
        <v>13</v>
      </c>
      <c r="D476" t="s">
        <v>168</v>
      </c>
      <c r="E476" t="s">
        <v>258</v>
      </c>
      <c r="F476">
        <v>4</v>
      </c>
      <c r="G476">
        <v>835.6</v>
      </c>
      <c r="H476">
        <v>30</v>
      </c>
      <c r="I476" t="str">
        <f>IF(Sales[[#This Row],[Discount]]&lt;=10,"0-10%",IF(Sales[[#This Row],[Discount]]&lt;=20,"10-20%","20-30%"))</f>
        <v>20-30%</v>
      </c>
      <c r="J476">
        <v>456.07</v>
      </c>
      <c r="K476" t="s">
        <v>268</v>
      </c>
      <c r="L476" t="s">
        <v>265</v>
      </c>
      <c r="M476">
        <f t="shared" si="49"/>
        <v>1824.28</v>
      </c>
      <c r="N476">
        <f t="shared" si="50"/>
        <v>2339.6799999999998</v>
      </c>
      <c r="O476">
        <f t="shared" si="51"/>
        <v>515.39999999999986</v>
      </c>
      <c r="P476" s="2">
        <f t="shared" si="52"/>
        <v>0.22028653491075698</v>
      </c>
      <c r="Q476" t="str">
        <f t="shared" si="53"/>
        <v>Weekday</v>
      </c>
      <c r="R476" t="str">
        <f t="shared" si="54"/>
        <v>Jun</v>
      </c>
      <c r="S476">
        <f t="shared" si="55"/>
        <v>2023</v>
      </c>
    </row>
    <row r="477" spans="1:19" x14ac:dyDescent="0.25">
      <c r="A477">
        <v>100475</v>
      </c>
      <c r="B477" s="1">
        <v>45449</v>
      </c>
      <c r="C477" t="s">
        <v>46</v>
      </c>
      <c r="D477" t="s">
        <v>228</v>
      </c>
      <c r="E477" t="s">
        <v>254</v>
      </c>
      <c r="F477">
        <v>4</v>
      </c>
      <c r="G477">
        <v>4115.32</v>
      </c>
      <c r="H477">
        <v>0</v>
      </c>
      <c r="I477" t="str">
        <f>IF(Sales[[#This Row],[Discount]]&lt;=10,"0-10%",IF(Sales[[#This Row],[Discount]]&lt;=20,"10-20%","20-30%"))</f>
        <v>0-10%</v>
      </c>
      <c r="J477">
        <v>2456.61</v>
      </c>
      <c r="K477" t="s">
        <v>268</v>
      </c>
      <c r="L477" t="s">
        <v>264</v>
      </c>
      <c r="M477">
        <f t="shared" si="49"/>
        <v>9826.44</v>
      </c>
      <c r="N477">
        <f t="shared" si="50"/>
        <v>16461.28</v>
      </c>
      <c r="O477">
        <f t="shared" si="51"/>
        <v>6634.8399999999983</v>
      </c>
      <c r="P477" s="2">
        <f t="shared" si="52"/>
        <v>0.40305735641456791</v>
      </c>
      <c r="Q477" t="str">
        <f t="shared" si="53"/>
        <v>Weekday</v>
      </c>
      <c r="R477" t="str">
        <f t="shared" si="54"/>
        <v>Jun</v>
      </c>
      <c r="S477">
        <f t="shared" si="55"/>
        <v>2024</v>
      </c>
    </row>
    <row r="478" spans="1:19" x14ac:dyDescent="0.25">
      <c r="A478">
        <v>100476</v>
      </c>
      <c r="B478" s="1">
        <v>45591</v>
      </c>
      <c r="C478" t="s">
        <v>50</v>
      </c>
      <c r="D478" t="s">
        <v>196</v>
      </c>
      <c r="E478" t="s">
        <v>259</v>
      </c>
      <c r="F478">
        <v>3</v>
      </c>
      <c r="G478">
        <v>820.8</v>
      </c>
      <c r="H478">
        <v>15</v>
      </c>
      <c r="I478" t="str">
        <f>IF(Sales[[#This Row],[Discount]]&lt;=10,"0-10%",IF(Sales[[#This Row],[Discount]]&lt;=20,"10-20%","20-30%"))</f>
        <v>10-20%</v>
      </c>
      <c r="J478">
        <v>475.7</v>
      </c>
      <c r="K478" t="s">
        <v>268</v>
      </c>
      <c r="L478" t="s">
        <v>267</v>
      </c>
      <c r="M478">
        <f t="shared" si="49"/>
        <v>1427.1</v>
      </c>
      <c r="N478">
        <f t="shared" si="50"/>
        <v>2093.0399999999995</v>
      </c>
      <c r="O478">
        <f t="shared" si="51"/>
        <v>665.9399999999996</v>
      </c>
      <c r="P478" s="2">
        <f t="shared" si="52"/>
        <v>0.31816878798302933</v>
      </c>
      <c r="Q478" t="str">
        <f t="shared" si="53"/>
        <v>Weekend</v>
      </c>
      <c r="R478" t="str">
        <f t="shared" si="54"/>
        <v>Oct</v>
      </c>
      <c r="S478">
        <f t="shared" si="55"/>
        <v>2024</v>
      </c>
    </row>
    <row r="479" spans="1:19" x14ac:dyDescent="0.25">
      <c r="A479">
        <v>100477</v>
      </c>
      <c r="B479" s="1">
        <v>45340</v>
      </c>
      <c r="C479" t="s">
        <v>40</v>
      </c>
      <c r="D479" t="s">
        <v>69</v>
      </c>
      <c r="E479" t="s">
        <v>254</v>
      </c>
      <c r="F479">
        <v>2</v>
      </c>
      <c r="G479">
        <v>2365.1999999999998</v>
      </c>
      <c r="H479">
        <v>10</v>
      </c>
      <c r="I479" t="str">
        <f>IF(Sales[[#This Row],[Discount]]&lt;=10,"0-10%",IF(Sales[[#This Row],[Discount]]&lt;=20,"10-20%","20-30%"))</f>
        <v>0-10%</v>
      </c>
      <c r="J479">
        <v>1381</v>
      </c>
      <c r="K479" t="s">
        <v>268</v>
      </c>
      <c r="L479" t="s">
        <v>264</v>
      </c>
      <c r="M479">
        <f t="shared" si="49"/>
        <v>2762</v>
      </c>
      <c r="N479">
        <f t="shared" si="50"/>
        <v>4257.3599999999997</v>
      </c>
      <c r="O479">
        <f t="shared" si="51"/>
        <v>1495.3599999999997</v>
      </c>
      <c r="P479" s="2">
        <f t="shared" si="52"/>
        <v>0.35124114474697932</v>
      </c>
      <c r="Q479" t="str">
        <f t="shared" si="53"/>
        <v>Weekend</v>
      </c>
      <c r="R479" t="str">
        <f t="shared" si="54"/>
        <v>Feb</v>
      </c>
      <c r="S479">
        <f t="shared" si="55"/>
        <v>2024</v>
      </c>
    </row>
    <row r="480" spans="1:19" x14ac:dyDescent="0.25">
      <c r="A480">
        <v>100478</v>
      </c>
      <c r="B480" s="1">
        <v>45048</v>
      </c>
      <c r="C480" t="s">
        <v>37</v>
      </c>
      <c r="D480" t="s">
        <v>154</v>
      </c>
      <c r="E480" t="s">
        <v>257</v>
      </c>
      <c r="F480">
        <v>4</v>
      </c>
      <c r="G480">
        <v>2631.42</v>
      </c>
      <c r="H480">
        <v>30</v>
      </c>
      <c r="I480" t="str">
        <f>IF(Sales[[#This Row],[Discount]]&lt;=10,"0-10%",IF(Sales[[#This Row],[Discount]]&lt;=20,"10-20%","20-30%"))</f>
        <v>20-30%</v>
      </c>
      <c r="J480">
        <v>1062.6099999999999</v>
      </c>
      <c r="K480" t="s">
        <v>268</v>
      </c>
      <c r="L480" t="s">
        <v>263</v>
      </c>
      <c r="M480">
        <f t="shared" si="49"/>
        <v>4250.4399999999996</v>
      </c>
      <c r="N480">
        <f t="shared" si="50"/>
        <v>7367.9759999999997</v>
      </c>
      <c r="O480">
        <f t="shared" si="51"/>
        <v>3117.5360000000001</v>
      </c>
      <c r="P480" s="2">
        <f t="shared" si="52"/>
        <v>0.42311972786013419</v>
      </c>
      <c r="Q480" t="str">
        <f t="shared" si="53"/>
        <v>Weekday</v>
      </c>
      <c r="R480" t="str">
        <f t="shared" si="54"/>
        <v>May</v>
      </c>
      <c r="S480">
        <f t="shared" si="55"/>
        <v>2023</v>
      </c>
    </row>
    <row r="481" spans="1:19" x14ac:dyDescent="0.25">
      <c r="A481">
        <v>100479</v>
      </c>
      <c r="B481" s="1">
        <v>45159</v>
      </c>
      <c r="C481" t="s">
        <v>22</v>
      </c>
      <c r="D481" t="s">
        <v>78</v>
      </c>
      <c r="E481" t="s">
        <v>254</v>
      </c>
      <c r="F481">
        <v>2</v>
      </c>
      <c r="G481">
        <v>4348.4399999999996</v>
      </c>
      <c r="H481">
        <v>0</v>
      </c>
      <c r="I481" t="str">
        <f>IF(Sales[[#This Row],[Discount]]&lt;=10,"0-10%",IF(Sales[[#This Row],[Discount]]&lt;=20,"10-20%","20-30%"))</f>
        <v>0-10%</v>
      </c>
      <c r="J481">
        <v>2843.68</v>
      </c>
      <c r="K481" t="s">
        <v>262</v>
      </c>
      <c r="L481" t="s">
        <v>263</v>
      </c>
      <c r="M481">
        <f t="shared" si="49"/>
        <v>5687.36</v>
      </c>
      <c r="N481">
        <f t="shared" si="50"/>
        <v>8696.8799999999992</v>
      </c>
      <c r="O481">
        <f t="shared" si="51"/>
        <v>3009.5199999999995</v>
      </c>
      <c r="P481" s="2">
        <f t="shared" si="52"/>
        <v>0.3460459383135101</v>
      </c>
      <c r="Q481" t="str">
        <f t="shared" si="53"/>
        <v>Weekday</v>
      </c>
      <c r="R481" t="str">
        <f t="shared" si="54"/>
        <v>Aug</v>
      </c>
      <c r="S481">
        <f t="shared" si="55"/>
        <v>2023</v>
      </c>
    </row>
    <row r="482" spans="1:19" x14ac:dyDescent="0.25">
      <c r="A482">
        <v>100480</v>
      </c>
      <c r="B482" s="1">
        <v>45564</v>
      </c>
      <c r="C482" t="s">
        <v>56</v>
      </c>
      <c r="D482" t="s">
        <v>233</v>
      </c>
      <c r="E482" t="s">
        <v>258</v>
      </c>
      <c r="F482">
        <v>2</v>
      </c>
      <c r="G482">
        <v>3289.53</v>
      </c>
      <c r="H482">
        <v>0</v>
      </c>
      <c r="I482" t="str">
        <f>IF(Sales[[#This Row],[Discount]]&lt;=10,"0-10%",IF(Sales[[#This Row],[Discount]]&lt;=20,"10-20%","20-30%"))</f>
        <v>0-10%</v>
      </c>
      <c r="J482">
        <v>1533.97</v>
      </c>
      <c r="K482" t="s">
        <v>261</v>
      </c>
      <c r="L482" t="s">
        <v>263</v>
      </c>
      <c r="M482">
        <f t="shared" si="49"/>
        <v>3067.94</v>
      </c>
      <c r="N482">
        <f t="shared" si="50"/>
        <v>6579.06</v>
      </c>
      <c r="O482">
        <f t="shared" si="51"/>
        <v>3511.1200000000003</v>
      </c>
      <c r="P482" s="2">
        <f t="shared" si="52"/>
        <v>0.53368110337951014</v>
      </c>
      <c r="Q482" t="str">
        <f t="shared" si="53"/>
        <v>Weekend</v>
      </c>
      <c r="R482" t="str">
        <f t="shared" si="54"/>
        <v>Sep</v>
      </c>
      <c r="S482">
        <f t="shared" si="55"/>
        <v>2024</v>
      </c>
    </row>
    <row r="483" spans="1:19" x14ac:dyDescent="0.25">
      <c r="A483">
        <v>100481</v>
      </c>
      <c r="B483" s="1">
        <v>45162</v>
      </c>
      <c r="C483" t="s">
        <v>26</v>
      </c>
      <c r="D483" t="s">
        <v>83</v>
      </c>
      <c r="E483" t="s">
        <v>256</v>
      </c>
      <c r="F483">
        <v>2</v>
      </c>
      <c r="G483">
        <v>3723.91</v>
      </c>
      <c r="H483">
        <v>30</v>
      </c>
      <c r="I483" t="str">
        <f>IF(Sales[[#This Row],[Discount]]&lt;=10,"0-10%",IF(Sales[[#This Row],[Discount]]&lt;=20,"10-20%","20-30%"))</f>
        <v>20-30%</v>
      </c>
      <c r="J483">
        <v>2356.9899999999998</v>
      </c>
      <c r="K483" t="s">
        <v>261</v>
      </c>
      <c r="L483" t="s">
        <v>264</v>
      </c>
      <c r="M483">
        <f t="shared" si="49"/>
        <v>4713.9799999999996</v>
      </c>
      <c r="N483">
        <f t="shared" si="50"/>
        <v>5213.4739999999993</v>
      </c>
      <c r="O483">
        <f t="shared" si="51"/>
        <v>499.49399999999969</v>
      </c>
      <c r="P483" s="2">
        <f t="shared" si="52"/>
        <v>9.5808284456774848E-2</v>
      </c>
      <c r="Q483" t="str">
        <f t="shared" si="53"/>
        <v>Weekday</v>
      </c>
      <c r="R483" t="str">
        <f t="shared" si="54"/>
        <v>Aug</v>
      </c>
      <c r="S483">
        <f t="shared" si="55"/>
        <v>2023</v>
      </c>
    </row>
    <row r="484" spans="1:19" x14ac:dyDescent="0.25">
      <c r="A484">
        <v>100482</v>
      </c>
      <c r="B484" s="1">
        <v>45392</v>
      </c>
      <c r="C484" t="s">
        <v>31</v>
      </c>
      <c r="D484" t="s">
        <v>91</v>
      </c>
      <c r="E484" t="s">
        <v>254</v>
      </c>
      <c r="F484">
        <v>2</v>
      </c>
      <c r="G484">
        <v>4927.95</v>
      </c>
      <c r="H484">
        <v>0</v>
      </c>
      <c r="I484" t="str">
        <f>IF(Sales[[#This Row],[Discount]]&lt;=10,"0-10%",IF(Sales[[#This Row],[Discount]]&lt;=20,"10-20%","20-30%"))</f>
        <v>0-10%</v>
      </c>
      <c r="J484">
        <v>3357</v>
      </c>
      <c r="K484" t="s">
        <v>262</v>
      </c>
      <c r="L484" t="s">
        <v>263</v>
      </c>
      <c r="M484">
        <f t="shared" si="49"/>
        <v>6714</v>
      </c>
      <c r="N484">
        <f t="shared" si="50"/>
        <v>9855.9</v>
      </c>
      <c r="O484">
        <f t="shared" si="51"/>
        <v>3141.8999999999996</v>
      </c>
      <c r="P484" s="2">
        <f t="shared" si="52"/>
        <v>0.31878367272395214</v>
      </c>
      <c r="Q484" t="str">
        <f t="shared" si="53"/>
        <v>Weekday</v>
      </c>
      <c r="R484" t="str">
        <f t="shared" si="54"/>
        <v>Apr</v>
      </c>
      <c r="S484">
        <f t="shared" si="55"/>
        <v>2024</v>
      </c>
    </row>
    <row r="485" spans="1:19" x14ac:dyDescent="0.25">
      <c r="A485">
        <v>100483</v>
      </c>
      <c r="B485" s="1">
        <v>45488</v>
      </c>
      <c r="C485" t="s">
        <v>15</v>
      </c>
      <c r="D485" t="s">
        <v>168</v>
      </c>
      <c r="E485" t="s">
        <v>258</v>
      </c>
      <c r="F485">
        <v>1</v>
      </c>
      <c r="G485">
        <v>3520.9</v>
      </c>
      <c r="H485">
        <v>15</v>
      </c>
      <c r="I485" t="str">
        <f>IF(Sales[[#This Row],[Discount]]&lt;=10,"0-10%",IF(Sales[[#This Row],[Discount]]&lt;=20,"10-20%","20-30%"))</f>
        <v>10-20%</v>
      </c>
      <c r="J485">
        <v>1505.4</v>
      </c>
      <c r="K485" t="s">
        <v>268</v>
      </c>
      <c r="L485" t="s">
        <v>267</v>
      </c>
      <c r="M485">
        <f t="shared" si="49"/>
        <v>1505.4</v>
      </c>
      <c r="N485">
        <f t="shared" si="50"/>
        <v>2992.7649999999999</v>
      </c>
      <c r="O485">
        <f t="shared" si="51"/>
        <v>1487.3649999999998</v>
      </c>
      <c r="P485" s="2">
        <f t="shared" si="52"/>
        <v>0.49698690007401175</v>
      </c>
      <c r="Q485" t="str">
        <f t="shared" si="53"/>
        <v>Weekday</v>
      </c>
      <c r="R485" t="str">
        <f t="shared" si="54"/>
        <v>Jul</v>
      </c>
      <c r="S485">
        <f t="shared" si="55"/>
        <v>2024</v>
      </c>
    </row>
    <row r="486" spans="1:19" x14ac:dyDescent="0.25">
      <c r="A486">
        <v>100484</v>
      </c>
      <c r="B486" s="1">
        <v>45387</v>
      </c>
      <c r="C486" t="s">
        <v>29</v>
      </c>
      <c r="D486" t="s">
        <v>197</v>
      </c>
      <c r="E486" t="s">
        <v>256</v>
      </c>
      <c r="F486">
        <v>3</v>
      </c>
      <c r="G486">
        <v>2677.51</v>
      </c>
      <c r="H486">
        <v>30</v>
      </c>
      <c r="I486" t="str">
        <f>IF(Sales[[#This Row],[Discount]]&lt;=10,"0-10%",IF(Sales[[#This Row],[Discount]]&lt;=20,"10-20%","20-30%"))</f>
        <v>20-30%</v>
      </c>
      <c r="J486">
        <v>1746.3</v>
      </c>
      <c r="K486" t="s">
        <v>261</v>
      </c>
      <c r="L486" t="s">
        <v>264</v>
      </c>
      <c r="M486">
        <f t="shared" si="49"/>
        <v>5238.8999999999996</v>
      </c>
      <c r="N486">
        <f t="shared" si="50"/>
        <v>5622.7709999999997</v>
      </c>
      <c r="O486">
        <f t="shared" si="51"/>
        <v>383.87100000000009</v>
      </c>
      <c r="P486" s="2">
        <f t="shared" si="52"/>
        <v>6.8270786770437589E-2</v>
      </c>
      <c r="Q486" t="str">
        <f t="shared" si="53"/>
        <v>Weekday</v>
      </c>
      <c r="R486" t="str">
        <f t="shared" si="54"/>
        <v>Apr</v>
      </c>
      <c r="S486">
        <f t="shared" si="55"/>
        <v>2024</v>
      </c>
    </row>
    <row r="487" spans="1:19" x14ac:dyDescent="0.25">
      <c r="A487">
        <v>100485</v>
      </c>
      <c r="B487" s="1">
        <v>45441</v>
      </c>
      <c r="C487" t="s">
        <v>27</v>
      </c>
      <c r="D487" t="s">
        <v>115</v>
      </c>
      <c r="E487" t="s">
        <v>258</v>
      </c>
      <c r="F487">
        <v>3</v>
      </c>
      <c r="G487">
        <v>3863.47</v>
      </c>
      <c r="H487">
        <v>25</v>
      </c>
      <c r="I487" t="str">
        <f>IF(Sales[[#This Row],[Discount]]&lt;=10,"0-10%",IF(Sales[[#This Row],[Discount]]&lt;=20,"10-20%","20-30%"))</f>
        <v>20-30%</v>
      </c>
      <c r="J487">
        <v>2407.0500000000002</v>
      </c>
      <c r="K487" t="s">
        <v>268</v>
      </c>
      <c r="L487" t="s">
        <v>266</v>
      </c>
      <c r="M487">
        <f t="shared" si="49"/>
        <v>7221.1500000000005</v>
      </c>
      <c r="N487">
        <f t="shared" si="50"/>
        <v>8692.807499999999</v>
      </c>
      <c r="O487">
        <f t="shared" si="51"/>
        <v>1471.6574999999984</v>
      </c>
      <c r="P487" s="2">
        <f t="shared" si="52"/>
        <v>0.16929599556875022</v>
      </c>
      <c r="Q487" t="str">
        <f t="shared" si="53"/>
        <v>Weekday</v>
      </c>
      <c r="R487" t="str">
        <f t="shared" si="54"/>
        <v>May</v>
      </c>
      <c r="S487">
        <f t="shared" si="55"/>
        <v>2024</v>
      </c>
    </row>
    <row r="488" spans="1:19" x14ac:dyDescent="0.25">
      <c r="A488">
        <v>100486</v>
      </c>
      <c r="B488" s="1">
        <v>45034</v>
      </c>
      <c r="C488" t="s">
        <v>52</v>
      </c>
      <c r="D488" t="s">
        <v>166</v>
      </c>
      <c r="E488" t="s">
        <v>256</v>
      </c>
      <c r="F488">
        <v>2</v>
      </c>
      <c r="G488">
        <v>2955.6</v>
      </c>
      <c r="H488">
        <v>0</v>
      </c>
      <c r="I488" t="str">
        <f>IF(Sales[[#This Row],[Discount]]&lt;=10,"0-10%",IF(Sales[[#This Row],[Discount]]&lt;=20,"10-20%","20-30%"))</f>
        <v>0-10%</v>
      </c>
      <c r="J488">
        <v>1793.06</v>
      </c>
      <c r="K488" t="s">
        <v>261</v>
      </c>
      <c r="L488" t="s">
        <v>264</v>
      </c>
      <c r="M488">
        <f t="shared" si="49"/>
        <v>3586.12</v>
      </c>
      <c r="N488">
        <f t="shared" si="50"/>
        <v>5911.2</v>
      </c>
      <c r="O488">
        <f t="shared" si="51"/>
        <v>2325.08</v>
      </c>
      <c r="P488" s="2">
        <f t="shared" si="52"/>
        <v>0.39333468669644067</v>
      </c>
      <c r="Q488" t="str">
        <f t="shared" si="53"/>
        <v>Weekday</v>
      </c>
      <c r="R488" t="str">
        <f t="shared" si="54"/>
        <v>Apr</v>
      </c>
      <c r="S488">
        <f t="shared" si="55"/>
        <v>2023</v>
      </c>
    </row>
    <row r="489" spans="1:19" x14ac:dyDescent="0.25">
      <c r="A489">
        <v>100487</v>
      </c>
      <c r="B489" s="1">
        <v>45288</v>
      </c>
      <c r="C489" t="s">
        <v>16</v>
      </c>
      <c r="D489" t="s">
        <v>89</v>
      </c>
      <c r="E489" t="s">
        <v>258</v>
      </c>
      <c r="F489">
        <v>1</v>
      </c>
      <c r="G489">
        <v>3877.27</v>
      </c>
      <c r="H489">
        <v>20</v>
      </c>
      <c r="I489" t="str">
        <f>IF(Sales[[#This Row],[Discount]]&lt;=10,"0-10%",IF(Sales[[#This Row],[Discount]]&lt;=20,"10-20%","20-30%"))</f>
        <v>10-20%</v>
      </c>
      <c r="J489">
        <v>1737.1</v>
      </c>
      <c r="K489" t="s">
        <v>261</v>
      </c>
      <c r="L489" t="s">
        <v>263</v>
      </c>
      <c r="M489">
        <f t="shared" si="49"/>
        <v>1737.1</v>
      </c>
      <c r="N489">
        <f t="shared" si="50"/>
        <v>3101.8160000000003</v>
      </c>
      <c r="O489">
        <f t="shared" si="51"/>
        <v>1364.7160000000003</v>
      </c>
      <c r="P489" s="2">
        <f t="shared" si="52"/>
        <v>0.43997322858609289</v>
      </c>
      <c r="Q489" t="str">
        <f t="shared" si="53"/>
        <v>Weekday</v>
      </c>
      <c r="R489" t="str">
        <f t="shared" si="54"/>
        <v>Dec</v>
      </c>
      <c r="S489">
        <f t="shared" si="55"/>
        <v>2023</v>
      </c>
    </row>
    <row r="490" spans="1:19" x14ac:dyDescent="0.25">
      <c r="A490">
        <v>100488</v>
      </c>
      <c r="B490" s="1">
        <v>45441</v>
      </c>
      <c r="C490" t="s">
        <v>29</v>
      </c>
      <c r="D490" t="s">
        <v>155</v>
      </c>
      <c r="E490" t="s">
        <v>255</v>
      </c>
      <c r="F490">
        <v>4</v>
      </c>
      <c r="G490">
        <v>4115.24</v>
      </c>
      <c r="H490">
        <v>0</v>
      </c>
      <c r="I490" t="str">
        <f>IF(Sales[[#This Row],[Discount]]&lt;=10,"0-10%",IF(Sales[[#This Row],[Discount]]&lt;=20,"10-20%","20-30%"))</f>
        <v>0-10%</v>
      </c>
      <c r="J490">
        <v>2561.79</v>
      </c>
      <c r="K490" t="s">
        <v>261</v>
      </c>
      <c r="L490" t="s">
        <v>264</v>
      </c>
      <c r="M490">
        <f t="shared" si="49"/>
        <v>10247.16</v>
      </c>
      <c r="N490">
        <f t="shared" si="50"/>
        <v>16460.96</v>
      </c>
      <c r="O490">
        <f t="shared" si="51"/>
        <v>6213.7999999999993</v>
      </c>
      <c r="P490" s="2">
        <f t="shared" si="52"/>
        <v>0.37748709674283881</v>
      </c>
      <c r="Q490" t="str">
        <f t="shared" si="53"/>
        <v>Weekday</v>
      </c>
      <c r="R490" t="str">
        <f t="shared" si="54"/>
        <v>May</v>
      </c>
      <c r="S490">
        <f t="shared" si="55"/>
        <v>2024</v>
      </c>
    </row>
    <row r="491" spans="1:19" x14ac:dyDescent="0.25">
      <c r="A491">
        <v>100489</v>
      </c>
      <c r="B491" s="1">
        <v>45417</v>
      </c>
      <c r="C491" t="s">
        <v>59</v>
      </c>
      <c r="D491" t="s">
        <v>228</v>
      </c>
      <c r="E491" t="s">
        <v>259</v>
      </c>
      <c r="F491">
        <v>4</v>
      </c>
      <c r="G491">
        <v>766.14</v>
      </c>
      <c r="H491">
        <v>20</v>
      </c>
      <c r="I491" t="str">
        <f>IF(Sales[[#This Row],[Discount]]&lt;=10,"0-10%",IF(Sales[[#This Row],[Discount]]&lt;=20,"10-20%","20-30%"))</f>
        <v>10-20%</v>
      </c>
      <c r="J491">
        <v>398.74</v>
      </c>
      <c r="K491" t="s">
        <v>268</v>
      </c>
      <c r="L491" t="s">
        <v>264</v>
      </c>
      <c r="M491">
        <f t="shared" si="49"/>
        <v>1594.96</v>
      </c>
      <c r="N491">
        <f t="shared" si="50"/>
        <v>2451.6480000000001</v>
      </c>
      <c r="O491">
        <f t="shared" si="51"/>
        <v>856.6880000000001</v>
      </c>
      <c r="P491" s="2">
        <f t="shared" si="52"/>
        <v>0.34943352389902632</v>
      </c>
      <c r="Q491" t="str">
        <f t="shared" si="53"/>
        <v>Weekend</v>
      </c>
      <c r="R491" t="str">
        <f t="shared" si="54"/>
        <v>May</v>
      </c>
      <c r="S491">
        <f t="shared" si="55"/>
        <v>2024</v>
      </c>
    </row>
    <row r="492" spans="1:19" x14ac:dyDescent="0.25">
      <c r="A492">
        <v>100490</v>
      </c>
      <c r="B492" s="1">
        <v>44992</v>
      </c>
      <c r="C492" t="s">
        <v>30</v>
      </c>
      <c r="D492" t="s">
        <v>217</v>
      </c>
      <c r="E492" t="s">
        <v>257</v>
      </c>
      <c r="F492">
        <v>1</v>
      </c>
      <c r="G492">
        <v>3745.44</v>
      </c>
      <c r="H492">
        <v>30</v>
      </c>
      <c r="I492" t="str">
        <f>IF(Sales[[#This Row],[Discount]]&lt;=10,"0-10%",IF(Sales[[#This Row],[Discount]]&lt;=20,"10-20%","20-30%"))</f>
        <v>20-30%</v>
      </c>
      <c r="J492">
        <v>2190.3200000000002</v>
      </c>
      <c r="K492" t="s">
        <v>261</v>
      </c>
      <c r="L492" t="s">
        <v>263</v>
      </c>
      <c r="M492">
        <f t="shared" si="49"/>
        <v>2190.3200000000002</v>
      </c>
      <c r="N492">
        <f t="shared" si="50"/>
        <v>2621.808</v>
      </c>
      <c r="O492">
        <f t="shared" si="51"/>
        <v>431.48799999999983</v>
      </c>
      <c r="P492" s="2">
        <f t="shared" si="52"/>
        <v>0.164576505983657</v>
      </c>
      <c r="Q492" t="str">
        <f t="shared" si="53"/>
        <v>Weekday</v>
      </c>
      <c r="R492" t="str">
        <f t="shared" si="54"/>
        <v>Mar</v>
      </c>
      <c r="S492">
        <f t="shared" si="55"/>
        <v>2023</v>
      </c>
    </row>
    <row r="493" spans="1:19" x14ac:dyDescent="0.25">
      <c r="A493">
        <v>100491</v>
      </c>
      <c r="B493" s="1">
        <v>45524</v>
      </c>
      <c r="C493" t="s">
        <v>47</v>
      </c>
      <c r="D493" t="s">
        <v>147</v>
      </c>
      <c r="E493" t="s">
        <v>258</v>
      </c>
      <c r="F493">
        <v>4</v>
      </c>
      <c r="G493">
        <v>3983.82</v>
      </c>
      <c r="H493">
        <v>20</v>
      </c>
      <c r="I493" t="str">
        <f>IF(Sales[[#This Row],[Discount]]&lt;=10,"0-10%",IF(Sales[[#This Row],[Discount]]&lt;=20,"10-20%","20-30%"))</f>
        <v>10-20%</v>
      </c>
      <c r="J493">
        <v>2255.91</v>
      </c>
      <c r="K493" t="s">
        <v>268</v>
      </c>
      <c r="L493" t="s">
        <v>265</v>
      </c>
      <c r="M493">
        <f t="shared" si="49"/>
        <v>9023.64</v>
      </c>
      <c r="N493">
        <f t="shared" si="50"/>
        <v>12748.224000000002</v>
      </c>
      <c r="O493">
        <f t="shared" si="51"/>
        <v>3724.5840000000026</v>
      </c>
      <c r="P493" s="2">
        <f t="shared" si="52"/>
        <v>0.29216493215054912</v>
      </c>
      <c r="Q493" t="str">
        <f t="shared" si="53"/>
        <v>Weekday</v>
      </c>
      <c r="R493" t="str">
        <f t="shared" si="54"/>
        <v>Aug</v>
      </c>
      <c r="S493">
        <f t="shared" si="55"/>
        <v>2024</v>
      </c>
    </row>
    <row r="494" spans="1:19" x14ac:dyDescent="0.25">
      <c r="A494">
        <v>100492</v>
      </c>
      <c r="B494" s="1">
        <v>44940</v>
      </c>
      <c r="C494" t="s">
        <v>56</v>
      </c>
      <c r="D494" t="s">
        <v>229</v>
      </c>
      <c r="E494" t="s">
        <v>254</v>
      </c>
      <c r="F494">
        <v>2</v>
      </c>
      <c r="G494">
        <v>465.96</v>
      </c>
      <c r="H494">
        <v>25</v>
      </c>
      <c r="I494" t="str">
        <f>IF(Sales[[#This Row],[Discount]]&lt;=10,"0-10%",IF(Sales[[#This Row],[Discount]]&lt;=20,"10-20%","20-30%"))</f>
        <v>20-30%</v>
      </c>
      <c r="J494">
        <v>290.63</v>
      </c>
      <c r="K494" t="s">
        <v>261</v>
      </c>
      <c r="L494" t="s">
        <v>267</v>
      </c>
      <c r="M494">
        <f t="shared" si="49"/>
        <v>581.26</v>
      </c>
      <c r="N494">
        <f t="shared" si="50"/>
        <v>698.93999999999994</v>
      </c>
      <c r="O494">
        <f t="shared" si="51"/>
        <v>117.67999999999995</v>
      </c>
      <c r="P494" s="2">
        <f t="shared" si="52"/>
        <v>0.16836924485649693</v>
      </c>
      <c r="Q494" t="str">
        <f t="shared" si="53"/>
        <v>Weekend</v>
      </c>
      <c r="R494" t="str">
        <f t="shared" si="54"/>
        <v>Jan</v>
      </c>
      <c r="S494">
        <f t="shared" si="55"/>
        <v>2023</v>
      </c>
    </row>
    <row r="495" spans="1:19" x14ac:dyDescent="0.25">
      <c r="A495">
        <v>100493</v>
      </c>
      <c r="B495" s="1">
        <v>44996</v>
      </c>
      <c r="C495" t="s">
        <v>52</v>
      </c>
      <c r="D495" t="s">
        <v>149</v>
      </c>
      <c r="E495" t="s">
        <v>257</v>
      </c>
      <c r="F495">
        <v>2</v>
      </c>
      <c r="G495">
        <v>3865.78</v>
      </c>
      <c r="H495">
        <v>15</v>
      </c>
      <c r="I495" t="str">
        <f>IF(Sales[[#This Row],[Discount]]&lt;=10,"0-10%",IF(Sales[[#This Row],[Discount]]&lt;=20,"10-20%","20-30%"))</f>
        <v>10-20%</v>
      </c>
      <c r="J495">
        <v>2333.0500000000002</v>
      </c>
      <c r="K495" t="s">
        <v>268</v>
      </c>
      <c r="L495" t="s">
        <v>266</v>
      </c>
      <c r="M495">
        <f t="shared" si="49"/>
        <v>4666.1000000000004</v>
      </c>
      <c r="N495">
        <f t="shared" si="50"/>
        <v>6571.826</v>
      </c>
      <c r="O495">
        <f t="shared" si="51"/>
        <v>1905.7259999999997</v>
      </c>
      <c r="P495" s="2">
        <f t="shared" si="52"/>
        <v>0.28998424486588653</v>
      </c>
      <c r="Q495" t="str">
        <f t="shared" si="53"/>
        <v>Weekend</v>
      </c>
      <c r="R495" t="str">
        <f t="shared" si="54"/>
        <v>Mar</v>
      </c>
      <c r="S495">
        <f t="shared" si="55"/>
        <v>2023</v>
      </c>
    </row>
    <row r="496" spans="1:19" x14ac:dyDescent="0.25">
      <c r="A496">
        <v>100494</v>
      </c>
      <c r="B496" s="1">
        <v>45307</v>
      </c>
      <c r="C496" t="s">
        <v>12</v>
      </c>
      <c r="D496" t="s">
        <v>177</v>
      </c>
      <c r="E496" t="s">
        <v>259</v>
      </c>
      <c r="F496">
        <v>3</v>
      </c>
      <c r="G496">
        <v>4982.7700000000004</v>
      </c>
      <c r="H496">
        <v>20</v>
      </c>
      <c r="I496" t="str">
        <f>IF(Sales[[#This Row],[Discount]]&lt;=10,"0-10%",IF(Sales[[#This Row],[Discount]]&lt;=20,"10-20%","20-30%"))</f>
        <v>10-20%</v>
      </c>
      <c r="J496">
        <v>2543.67</v>
      </c>
      <c r="K496" t="s">
        <v>268</v>
      </c>
      <c r="L496" t="s">
        <v>264</v>
      </c>
      <c r="M496">
        <f t="shared" si="49"/>
        <v>7631.01</v>
      </c>
      <c r="N496">
        <f t="shared" si="50"/>
        <v>11958.648000000001</v>
      </c>
      <c r="O496">
        <f t="shared" si="51"/>
        <v>4327.6380000000008</v>
      </c>
      <c r="P496" s="2">
        <f t="shared" si="52"/>
        <v>0.36188355071576656</v>
      </c>
      <c r="Q496" t="str">
        <f t="shared" si="53"/>
        <v>Weekday</v>
      </c>
      <c r="R496" t="str">
        <f t="shared" si="54"/>
        <v>Jan</v>
      </c>
      <c r="S496">
        <f t="shared" si="55"/>
        <v>2024</v>
      </c>
    </row>
    <row r="497" spans="1:19" x14ac:dyDescent="0.25">
      <c r="A497">
        <v>100495</v>
      </c>
      <c r="B497" s="1">
        <v>45080</v>
      </c>
      <c r="C497" t="s">
        <v>38</v>
      </c>
      <c r="D497" t="s">
        <v>205</v>
      </c>
      <c r="E497" t="s">
        <v>259</v>
      </c>
      <c r="F497">
        <v>4</v>
      </c>
      <c r="G497">
        <v>3967.88</v>
      </c>
      <c r="H497">
        <v>15</v>
      </c>
      <c r="I497" t="str">
        <f>IF(Sales[[#This Row],[Discount]]&lt;=10,"0-10%",IF(Sales[[#This Row],[Discount]]&lt;=20,"10-20%","20-30%"))</f>
        <v>10-20%</v>
      </c>
      <c r="J497">
        <v>1845.71</v>
      </c>
      <c r="K497" t="s">
        <v>268</v>
      </c>
      <c r="L497" t="s">
        <v>264</v>
      </c>
      <c r="M497">
        <f t="shared" si="49"/>
        <v>7382.84</v>
      </c>
      <c r="N497">
        <f t="shared" si="50"/>
        <v>13490.791999999999</v>
      </c>
      <c r="O497">
        <f t="shared" si="51"/>
        <v>6107.9519999999993</v>
      </c>
      <c r="P497" s="2">
        <f t="shared" si="52"/>
        <v>0.45274969771974838</v>
      </c>
      <c r="Q497" t="str">
        <f t="shared" si="53"/>
        <v>Weekend</v>
      </c>
      <c r="R497" t="str">
        <f t="shared" si="54"/>
        <v>Jun</v>
      </c>
      <c r="S497">
        <f t="shared" si="55"/>
        <v>2023</v>
      </c>
    </row>
    <row r="498" spans="1:19" x14ac:dyDescent="0.25">
      <c r="A498">
        <v>100496</v>
      </c>
      <c r="B498" s="1">
        <v>45331</v>
      </c>
      <c r="C498" t="s">
        <v>33</v>
      </c>
      <c r="D498" t="s">
        <v>165</v>
      </c>
      <c r="E498" t="s">
        <v>256</v>
      </c>
      <c r="F498">
        <v>2</v>
      </c>
      <c r="G498">
        <v>2239.3200000000002</v>
      </c>
      <c r="H498">
        <v>15</v>
      </c>
      <c r="I498" t="str">
        <f>IF(Sales[[#This Row],[Discount]]&lt;=10,"0-10%",IF(Sales[[#This Row],[Discount]]&lt;=20,"10-20%","20-30%"))</f>
        <v>10-20%</v>
      </c>
      <c r="J498">
        <v>1363.04</v>
      </c>
      <c r="K498" t="s">
        <v>262</v>
      </c>
      <c r="L498" t="s">
        <v>265</v>
      </c>
      <c r="M498">
        <f t="shared" si="49"/>
        <v>2726.08</v>
      </c>
      <c r="N498">
        <f t="shared" si="50"/>
        <v>3806.8440000000001</v>
      </c>
      <c r="O498">
        <f t="shared" si="51"/>
        <v>1080.7640000000001</v>
      </c>
      <c r="P498" s="2">
        <f t="shared" si="52"/>
        <v>0.28390025963764215</v>
      </c>
      <c r="Q498" t="str">
        <f t="shared" si="53"/>
        <v>Weekday</v>
      </c>
      <c r="R498" t="str">
        <f t="shared" si="54"/>
        <v>Feb</v>
      </c>
      <c r="S498">
        <f t="shared" si="55"/>
        <v>2024</v>
      </c>
    </row>
    <row r="499" spans="1:19" x14ac:dyDescent="0.25">
      <c r="A499">
        <v>100497</v>
      </c>
      <c r="B499" s="1">
        <v>44946</v>
      </c>
      <c r="C499" t="s">
        <v>57</v>
      </c>
      <c r="D499" t="s">
        <v>198</v>
      </c>
      <c r="E499" t="s">
        <v>254</v>
      </c>
      <c r="F499">
        <v>2</v>
      </c>
      <c r="G499">
        <v>1970.82</v>
      </c>
      <c r="H499">
        <v>30</v>
      </c>
      <c r="I499" t="str">
        <f>IF(Sales[[#This Row],[Discount]]&lt;=10,"0-10%",IF(Sales[[#This Row],[Discount]]&lt;=20,"10-20%","20-30%"))</f>
        <v>20-30%</v>
      </c>
      <c r="J499">
        <v>1257.8900000000001</v>
      </c>
      <c r="K499" t="s">
        <v>261</v>
      </c>
      <c r="L499" t="s">
        <v>265</v>
      </c>
      <c r="M499">
        <f t="shared" si="49"/>
        <v>2515.7800000000002</v>
      </c>
      <c r="N499">
        <f t="shared" si="50"/>
        <v>2759.1479999999997</v>
      </c>
      <c r="O499">
        <f t="shared" si="51"/>
        <v>243.36799999999948</v>
      </c>
      <c r="P499" s="2">
        <f t="shared" si="52"/>
        <v>8.8204039797792469E-2</v>
      </c>
      <c r="Q499" t="str">
        <f t="shared" si="53"/>
        <v>Weekday</v>
      </c>
      <c r="R499" t="str">
        <f t="shared" si="54"/>
        <v>Jan</v>
      </c>
      <c r="S499">
        <f t="shared" si="55"/>
        <v>2023</v>
      </c>
    </row>
    <row r="500" spans="1:19" x14ac:dyDescent="0.25">
      <c r="A500">
        <v>100498</v>
      </c>
      <c r="B500" s="1">
        <v>45441</v>
      </c>
      <c r="C500" t="s">
        <v>55</v>
      </c>
      <c r="D500" t="s">
        <v>145</v>
      </c>
      <c r="E500" t="s">
        <v>260</v>
      </c>
      <c r="F500">
        <v>3</v>
      </c>
      <c r="G500">
        <v>4409.03</v>
      </c>
      <c r="H500">
        <v>10</v>
      </c>
      <c r="I500" t="str">
        <f>IF(Sales[[#This Row],[Discount]]&lt;=10,"0-10%",IF(Sales[[#This Row],[Discount]]&lt;=20,"10-20%","20-30%"))</f>
        <v>0-10%</v>
      </c>
      <c r="J500">
        <v>2438.34</v>
      </c>
      <c r="K500" t="s">
        <v>262</v>
      </c>
      <c r="L500" t="s">
        <v>267</v>
      </c>
      <c r="M500">
        <f t="shared" si="49"/>
        <v>7315.02</v>
      </c>
      <c r="N500">
        <f t="shared" si="50"/>
        <v>11904.381000000001</v>
      </c>
      <c r="O500">
        <f t="shared" si="51"/>
        <v>4589.3610000000008</v>
      </c>
      <c r="P500" s="2">
        <f t="shared" si="52"/>
        <v>0.38551865905501514</v>
      </c>
      <c r="Q500" t="str">
        <f t="shared" si="53"/>
        <v>Weekday</v>
      </c>
      <c r="R500" t="str">
        <f t="shared" si="54"/>
        <v>May</v>
      </c>
      <c r="S500">
        <f t="shared" si="55"/>
        <v>2024</v>
      </c>
    </row>
    <row r="501" spans="1:19" x14ac:dyDescent="0.25">
      <c r="A501">
        <v>100499</v>
      </c>
      <c r="B501" s="1">
        <v>45462</v>
      </c>
      <c r="C501" t="s">
        <v>53</v>
      </c>
      <c r="D501" t="s">
        <v>130</v>
      </c>
      <c r="E501" t="s">
        <v>254</v>
      </c>
      <c r="F501">
        <v>2</v>
      </c>
      <c r="G501">
        <v>2938.98</v>
      </c>
      <c r="H501">
        <v>0</v>
      </c>
      <c r="I501" t="str">
        <f>IF(Sales[[#This Row],[Discount]]&lt;=10,"0-10%",IF(Sales[[#This Row],[Discount]]&lt;=20,"10-20%","20-30%"))</f>
        <v>0-10%</v>
      </c>
      <c r="J501">
        <v>1669.92</v>
      </c>
      <c r="K501" t="s">
        <v>262</v>
      </c>
      <c r="L501" t="s">
        <v>266</v>
      </c>
      <c r="M501">
        <f t="shared" si="49"/>
        <v>3339.84</v>
      </c>
      <c r="N501">
        <f t="shared" si="50"/>
        <v>5877.96</v>
      </c>
      <c r="O501">
        <f t="shared" si="51"/>
        <v>2538.12</v>
      </c>
      <c r="P501" s="2">
        <f t="shared" si="52"/>
        <v>0.43180287038360243</v>
      </c>
      <c r="Q501" t="str">
        <f t="shared" si="53"/>
        <v>Weekday</v>
      </c>
      <c r="R501" t="str">
        <f t="shared" si="54"/>
        <v>Jun</v>
      </c>
      <c r="S501">
        <f t="shared" si="55"/>
        <v>2024</v>
      </c>
    </row>
    <row r="502" spans="1:19" x14ac:dyDescent="0.25">
      <c r="A502">
        <v>100500</v>
      </c>
      <c r="B502" s="1">
        <v>44986</v>
      </c>
      <c r="C502" t="s">
        <v>59</v>
      </c>
      <c r="D502" t="s">
        <v>136</v>
      </c>
      <c r="E502" t="s">
        <v>254</v>
      </c>
      <c r="F502">
        <v>2</v>
      </c>
      <c r="G502">
        <v>4083.45</v>
      </c>
      <c r="H502">
        <v>25</v>
      </c>
      <c r="I502" t="str">
        <f>IF(Sales[[#This Row],[Discount]]&lt;=10,"0-10%",IF(Sales[[#This Row],[Discount]]&lt;=20,"10-20%","20-30%"))</f>
        <v>20-30%</v>
      </c>
      <c r="J502">
        <v>1963.92</v>
      </c>
      <c r="K502" t="s">
        <v>262</v>
      </c>
      <c r="L502" t="s">
        <v>265</v>
      </c>
      <c r="M502">
        <f t="shared" si="49"/>
        <v>3927.84</v>
      </c>
      <c r="N502">
        <f t="shared" si="50"/>
        <v>6125.1749999999993</v>
      </c>
      <c r="O502">
        <f t="shared" si="51"/>
        <v>2197.3349999999991</v>
      </c>
      <c r="P502" s="2">
        <f t="shared" si="52"/>
        <v>0.35873832176223525</v>
      </c>
      <c r="Q502" t="str">
        <f t="shared" si="53"/>
        <v>Weekday</v>
      </c>
      <c r="R502" t="str">
        <f t="shared" si="54"/>
        <v>Mar</v>
      </c>
      <c r="S502">
        <f t="shared" si="55"/>
        <v>2023</v>
      </c>
    </row>
    <row r="503" spans="1:19" x14ac:dyDescent="0.25">
      <c r="A503">
        <v>100501</v>
      </c>
      <c r="B503" s="1">
        <v>45590</v>
      </c>
      <c r="C503" t="s">
        <v>27</v>
      </c>
      <c r="D503" t="s">
        <v>140</v>
      </c>
      <c r="E503" t="s">
        <v>254</v>
      </c>
      <c r="F503">
        <v>1</v>
      </c>
      <c r="G503">
        <v>3291.51</v>
      </c>
      <c r="H503">
        <v>15</v>
      </c>
      <c r="I503" t="str">
        <f>IF(Sales[[#This Row],[Discount]]&lt;=10,"0-10%",IF(Sales[[#This Row],[Discount]]&lt;=20,"10-20%","20-30%"))</f>
        <v>10-20%</v>
      </c>
      <c r="J503">
        <v>1463.73</v>
      </c>
      <c r="K503" t="s">
        <v>268</v>
      </c>
      <c r="L503" t="s">
        <v>265</v>
      </c>
      <c r="M503">
        <f t="shared" si="49"/>
        <v>1463.73</v>
      </c>
      <c r="N503">
        <f t="shared" si="50"/>
        <v>2797.7835</v>
      </c>
      <c r="O503">
        <f t="shared" si="51"/>
        <v>1334.0535</v>
      </c>
      <c r="P503" s="2">
        <f t="shared" si="52"/>
        <v>0.47682513675557814</v>
      </c>
      <c r="Q503" t="str">
        <f t="shared" si="53"/>
        <v>Weekday</v>
      </c>
      <c r="R503" t="str">
        <f t="shared" si="54"/>
        <v>Oct</v>
      </c>
      <c r="S503">
        <f t="shared" si="55"/>
        <v>2024</v>
      </c>
    </row>
    <row r="504" spans="1:19" x14ac:dyDescent="0.25">
      <c r="A504">
        <v>100502</v>
      </c>
      <c r="B504" s="1">
        <v>45630</v>
      </c>
      <c r="C504" t="s">
        <v>54</v>
      </c>
      <c r="D504" t="s">
        <v>192</v>
      </c>
      <c r="E504" t="s">
        <v>257</v>
      </c>
      <c r="F504">
        <v>4</v>
      </c>
      <c r="G504">
        <v>3989.02</v>
      </c>
      <c r="H504">
        <v>10</v>
      </c>
      <c r="I504" t="str">
        <f>IF(Sales[[#This Row],[Discount]]&lt;=10,"0-10%",IF(Sales[[#This Row],[Discount]]&lt;=20,"10-20%","20-30%"))</f>
        <v>0-10%</v>
      </c>
      <c r="J504">
        <v>2442.4899999999998</v>
      </c>
      <c r="K504" t="s">
        <v>262</v>
      </c>
      <c r="L504" t="s">
        <v>265</v>
      </c>
      <c r="M504">
        <f t="shared" si="49"/>
        <v>9769.9599999999991</v>
      </c>
      <c r="N504">
        <f t="shared" si="50"/>
        <v>14360.472</v>
      </c>
      <c r="O504">
        <f t="shared" si="51"/>
        <v>4590.5120000000006</v>
      </c>
      <c r="P504" s="2">
        <f t="shared" si="52"/>
        <v>0.31966303057448253</v>
      </c>
      <c r="Q504" t="str">
        <f t="shared" si="53"/>
        <v>Weekday</v>
      </c>
      <c r="R504" t="str">
        <f t="shared" si="54"/>
        <v>Dec</v>
      </c>
      <c r="S504">
        <f t="shared" si="55"/>
        <v>2024</v>
      </c>
    </row>
    <row r="505" spans="1:19" x14ac:dyDescent="0.25">
      <c r="A505">
        <v>100503</v>
      </c>
      <c r="B505" s="1">
        <v>45039</v>
      </c>
      <c r="C505" t="s">
        <v>42</v>
      </c>
      <c r="D505" t="s">
        <v>135</v>
      </c>
      <c r="E505" t="s">
        <v>256</v>
      </c>
      <c r="F505">
        <v>4</v>
      </c>
      <c r="G505">
        <v>2055.27</v>
      </c>
      <c r="H505">
        <v>30</v>
      </c>
      <c r="I505" t="str">
        <f>IF(Sales[[#This Row],[Discount]]&lt;=10,"0-10%",IF(Sales[[#This Row],[Discount]]&lt;=20,"10-20%","20-30%"))</f>
        <v>20-30%</v>
      </c>
      <c r="J505">
        <v>897.56</v>
      </c>
      <c r="K505" t="s">
        <v>268</v>
      </c>
      <c r="L505" t="s">
        <v>266</v>
      </c>
      <c r="M505">
        <f t="shared" si="49"/>
        <v>3590.24</v>
      </c>
      <c r="N505">
        <f t="shared" si="50"/>
        <v>5754.7559999999994</v>
      </c>
      <c r="O505">
        <f t="shared" si="51"/>
        <v>2164.5159999999996</v>
      </c>
      <c r="P505" s="2">
        <f t="shared" si="52"/>
        <v>0.37612645957534946</v>
      </c>
      <c r="Q505" t="str">
        <f t="shared" si="53"/>
        <v>Weekend</v>
      </c>
      <c r="R505" t="str">
        <f t="shared" si="54"/>
        <v>Apr</v>
      </c>
      <c r="S505">
        <f t="shared" si="55"/>
        <v>2023</v>
      </c>
    </row>
    <row r="506" spans="1:19" x14ac:dyDescent="0.25">
      <c r="A506">
        <v>100504</v>
      </c>
      <c r="B506" s="1">
        <v>45402</v>
      </c>
      <c r="C506" t="s">
        <v>55</v>
      </c>
      <c r="D506" t="s">
        <v>183</v>
      </c>
      <c r="E506" t="s">
        <v>258</v>
      </c>
      <c r="F506">
        <v>1</v>
      </c>
      <c r="G506">
        <v>716.42</v>
      </c>
      <c r="H506">
        <v>0</v>
      </c>
      <c r="I506" t="str">
        <f>IF(Sales[[#This Row],[Discount]]&lt;=10,"0-10%",IF(Sales[[#This Row],[Discount]]&lt;=20,"10-20%","20-30%"))</f>
        <v>0-10%</v>
      </c>
      <c r="J506">
        <v>333.98</v>
      </c>
      <c r="K506" t="s">
        <v>268</v>
      </c>
      <c r="L506" t="s">
        <v>264</v>
      </c>
      <c r="M506">
        <f t="shared" si="49"/>
        <v>333.98</v>
      </c>
      <c r="N506">
        <f t="shared" si="50"/>
        <v>716.42</v>
      </c>
      <c r="O506">
        <f t="shared" si="51"/>
        <v>382.43999999999994</v>
      </c>
      <c r="P506" s="2">
        <f t="shared" si="52"/>
        <v>0.53382094302224947</v>
      </c>
      <c r="Q506" t="str">
        <f t="shared" si="53"/>
        <v>Weekend</v>
      </c>
      <c r="R506" t="str">
        <f t="shared" si="54"/>
        <v>Apr</v>
      </c>
      <c r="S506">
        <f t="shared" si="55"/>
        <v>2024</v>
      </c>
    </row>
    <row r="507" spans="1:19" x14ac:dyDescent="0.25">
      <c r="A507">
        <v>100505</v>
      </c>
      <c r="B507" s="1">
        <v>45087</v>
      </c>
      <c r="C507" t="s">
        <v>57</v>
      </c>
      <c r="D507" t="s">
        <v>179</v>
      </c>
      <c r="E507" t="s">
        <v>258</v>
      </c>
      <c r="F507">
        <v>3</v>
      </c>
      <c r="G507">
        <v>3747.99</v>
      </c>
      <c r="H507">
        <v>5</v>
      </c>
      <c r="I507" t="str">
        <f>IF(Sales[[#This Row],[Discount]]&lt;=10,"0-10%",IF(Sales[[#This Row],[Discount]]&lt;=20,"10-20%","20-30%"))</f>
        <v>0-10%</v>
      </c>
      <c r="J507">
        <v>1835.89</v>
      </c>
      <c r="K507" t="s">
        <v>261</v>
      </c>
      <c r="L507" t="s">
        <v>264</v>
      </c>
      <c r="M507">
        <f t="shared" si="49"/>
        <v>5507.67</v>
      </c>
      <c r="N507">
        <f t="shared" si="50"/>
        <v>10681.771499999999</v>
      </c>
      <c r="O507">
        <f t="shared" si="51"/>
        <v>5174.1014999999989</v>
      </c>
      <c r="P507" s="2">
        <f t="shared" si="52"/>
        <v>0.48438608708302733</v>
      </c>
      <c r="Q507" t="str">
        <f t="shared" si="53"/>
        <v>Weekend</v>
      </c>
      <c r="R507" t="str">
        <f t="shared" si="54"/>
        <v>Jun</v>
      </c>
      <c r="S507">
        <f t="shared" si="55"/>
        <v>2023</v>
      </c>
    </row>
    <row r="508" spans="1:19" x14ac:dyDescent="0.25">
      <c r="A508">
        <v>100506</v>
      </c>
      <c r="B508" s="1">
        <v>45325</v>
      </c>
      <c r="C508" t="s">
        <v>12</v>
      </c>
      <c r="D508" t="s">
        <v>93</v>
      </c>
      <c r="E508" t="s">
        <v>257</v>
      </c>
      <c r="F508">
        <v>2</v>
      </c>
      <c r="G508">
        <v>3290.03</v>
      </c>
      <c r="H508">
        <v>0</v>
      </c>
      <c r="I508" t="str">
        <f>IF(Sales[[#This Row],[Discount]]&lt;=10,"0-10%",IF(Sales[[#This Row],[Discount]]&lt;=20,"10-20%","20-30%"))</f>
        <v>0-10%</v>
      </c>
      <c r="J508">
        <v>2091.46</v>
      </c>
      <c r="K508" t="s">
        <v>268</v>
      </c>
      <c r="L508" t="s">
        <v>267</v>
      </c>
      <c r="M508">
        <f t="shared" si="49"/>
        <v>4182.92</v>
      </c>
      <c r="N508">
        <f t="shared" si="50"/>
        <v>6580.06</v>
      </c>
      <c r="O508">
        <f t="shared" si="51"/>
        <v>2397.1400000000003</v>
      </c>
      <c r="P508" s="2">
        <f t="shared" si="52"/>
        <v>0.36430366896350491</v>
      </c>
      <c r="Q508" t="str">
        <f t="shared" si="53"/>
        <v>Weekend</v>
      </c>
      <c r="R508" t="str">
        <f t="shared" si="54"/>
        <v>Feb</v>
      </c>
      <c r="S508">
        <f t="shared" si="55"/>
        <v>2024</v>
      </c>
    </row>
    <row r="509" spans="1:19" x14ac:dyDescent="0.25">
      <c r="A509">
        <v>100507</v>
      </c>
      <c r="B509" s="1">
        <v>45063</v>
      </c>
      <c r="C509" t="s">
        <v>52</v>
      </c>
      <c r="D509" t="s">
        <v>147</v>
      </c>
      <c r="E509" t="s">
        <v>257</v>
      </c>
      <c r="F509">
        <v>3</v>
      </c>
      <c r="G509">
        <v>4247.07</v>
      </c>
      <c r="H509">
        <v>20</v>
      </c>
      <c r="I509" t="str">
        <f>IF(Sales[[#This Row],[Discount]]&lt;=10,"0-10%",IF(Sales[[#This Row],[Discount]]&lt;=20,"10-20%","20-30%"))</f>
        <v>10-20%</v>
      </c>
      <c r="J509">
        <v>2187.88</v>
      </c>
      <c r="K509" t="s">
        <v>262</v>
      </c>
      <c r="L509" t="s">
        <v>266</v>
      </c>
      <c r="M509">
        <f t="shared" si="49"/>
        <v>6563.64</v>
      </c>
      <c r="N509">
        <f t="shared" si="50"/>
        <v>10192.968000000001</v>
      </c>
      <c r="O509">
        <f t="shared" si="51"/>
        <v>3629.3280000000004</v>
      </c>
      <c r="P509" s="2">
        <f t="shared" si="52"/>
        <v>0.35606194388131113</v>
      </c>
      <c r="Q509" t="str">
        <f t="shared" si="53"/>
        <v>Weekday</v>
      </c>
      <c r="R509" t="str">
        <f t="shared" si="54"/>
        <v>May</v>
      </c>
      <c r="S509">
        <f t="shared" si="55"/>
        <v>2023</v>
      </c>
    </row>
    <row r="510" spans="1:19" x14ac:dyDescent="0.25">
      <c r="A510">
        <v>100508</v>
      </c>
      <c r="B510" s="1">
        <v>45064</v>
      </c>
      <c r="C510" t="s">
        <v>50</v>
      </c>
      <c r="D510" t="s">
        <v>238</v>
      </c>
      <c r="E510" t="s">
        <v>255</v>
      </c>
      <c r="F510">
        <v>4</v>
      </c>
      <c r="G510">
        <v>1253.8</v>
      </c>
      <c r="H510">
        <v>10</v>
      </c>
      <c r="I510" t="str">
        <f>IF(Sales[[#This Row],[Discount]]&lt;=10,"0-10%",IF(Sales[[#This Row],[Discount]]&lt;=20,"10-20%","20-30%"))</f>
        <v>0-10%</v>
      </c>
      <c r="J510">
        <v>714.25</v>
      </c>
      <c r="K510" t="s">
        <v>268</v>
      </c>
      <c r="L510" t="s">
        <v>266</v>
      </c>
      <c r="M510">
        <f t="shared" si="49"/>
        <v>2857</v>
      </c>
      <c r="N510">
        <f t="shared" si="50"/>
        <v>4513.68</v>
      </c>
      <c r="O510">
        <f t="shared" si="51"/>
        <v>1656.6800000000003</v>
      </c>
      <c r="P510" s="2">
        <f t="shared" si="52"/>
        <v>0.36703532372698111</v>
      </c>
      <c r="Q510" t="str">
        <f t="shared" si="53"/>
        <v>Weekday</v>
      </c>
      <c r="R510" t="str">
        <f t="shared" si="54"/>
        <v>May</v>
      </c>
      <c r="S510">
        <f t="shared" si="55"/>
        <v>2023</v>
      </c>
    </row>
    <row r="511" spans="1:19" x14ac:dyDescent="0.25">
      <c r="A511">
        <v>100509</v>
      </c>
      <c r="B511" s="1">
        <v>45180</v>
      </c>
      <c r="C511" t="s">
        <v>55</v>
      </c>
      <c r="D511" t="s">
        <v>158</v>
      </c>
      <c r="E511" t="s">
        <v>254</v>
      </c>
      <c r="F511">
        <v>3</v>
      </c>
      <c r="G511">
        <v>423.12</v>
      </c>
      <c r="H511">
        <v>10</v>
      </c>
      <c r="I511" t="str">
        <f>IF(Sales[[#This Row],[Discount]]&lt;=10,"0-10%",IF(Sales[[#This Row],[Discount]]&lt;=20,"10-20%","20-30%"))</f>
        <v>0-10%</v>
      </c>
      <c r="J511">
        <v>172.32</v>
      </c>
      <c r="K511" t="s">
        <v>261</v>
      </c>
      <c r="L511" t="s">
        <v>266</v>
      </c>
      <c r="M511">
        <f t="shared" si="49"/>
        <v>516.96</v>
      </c>
      <c r="N511">
        <f t="shared" si="50"/>
        <v>1142.4240000000002</v>
      </c>
      <c r="O511">
        <f t="shared" si="51"/>
        <v>625.46400000000017</v>
      </c>
      <c r="P511" s="2">
        <f t="shared" si="52"/>
        <v>0.54748849814079537</v>
      </c>
      <c r="Q511" t="str">
        <f t="shared" si="53"/>
        <v>Weekday</v>
      </c>
      <c r="R511" t="str">
        <f t="shared" si="54"/>
        <v>Sep</v>
      </c>
      <c r="S511">
        <f t="shared" si="55"/>
        <v>2023</v>
      </c>
    </row>
    <row r="512" spans="1:19" x14ac:dyDescent="0.25">
      <c r="A512">
        <v>100510</v>
      </c>
      <c r="B512" s="1">
        <v>45489</v>
      </c>
      <c r="C512" t="s">
        <v>60</v>
      </c>
      <c r="D512" t="s">
        <v>136</v>
      </c>
      <c r="E512" t="s">
        <v>260</v>
      </c>
      <c r="F512">
        <v>1</v>
      </c>
      <c r="G512">
        <v>3579.05</v>
      </c>
      <c r="H512">
        <v>15</v>
      </c>
      <c r="I512" t="str">
        <f>IF(Sales[[#This Row],[Discount]]&lt;=10,"0-10%",IF(Sales[[#This Row],[Discount]]&lt;=20,"10-20%","20-30%"))</f>
        <v>10-20%</v>
      </c>
      <c r="J512">
        <v>2429.7600000000002</v>
      </c>
      <c r="K512" t="s">
        <v>268</v>
      </c>
      <c r="L512" t="s">
        <v>267</v>
      </c>
      <c r="M512">
        <f t="shared" si="49"/>
        <v>2429.7600000000002</v>
      </c>
      <c r="N512">
        <f t="shared" si="50"/>
        <v>3042.1925000000001</v>
      </c>
      <c r="O512">
        <f t="shared" si="51"/>
        <v>612.43249999999989</v>
      </c>
      <c r="P512" s="2">
        <f t="shared" si="52"/>
        <v>0.20131286892594727</v>
      </c>
      <c r="Q512" t="str">
        <f t="shared" si="53"/>
        <v>Weekday</v>
      </c>
      <c r="R512" t="str">
        <f t="shared" si="54"/>
        <v>Jul</v>
      </c>
      <c r="S512">
        <f t="shared" si="55"/>
        <v>2024</v>
      </c>
    </row>
    <row r="513" spans="1:19" x14ac:dyDescent="0.25">
      <c r="A513">
        <v>100511</v>
      </c>
      <c r="B513" s="1">
        <v>45507</v>
      </c>
      <c r="C513" t="s">
        <v>36</v>
      </c>
      <c r="D513" t="s">
        <v>206</v>
      </c>
      <c r="E513" t="s">
        <v>258</v>
      </c>
      <c r="F513">
        <v>2</v>
      </c>
      <c r="G513">
        <v>4307.82</v>
      </c>
      <c r="H513">
        <v>30</v>
      </c>
      <c r="I513" t="str">
        <f>IF(Sales[[#This Row],[Discount]]&lt;=10,"0-10%",IF(Sales[[#This Row],[Discount]]&lt;=20,"10-20%","20-30%"))</f>
        <v>20-30%</v>
      </c>
      <c r="J513">
        <v>2014.61</v>
      </c>
      <c r="K513" t="s">
        <v>262</v>
      </c>
      <c r="L513" t="s">
        <v>267</v>
      </c>
      <c r="M513">
        <f t="shared" si="49"/>
        <v>4029.22</v>
      </c>
      <c r="N513">
        <f t="shared" si="50"/>
        <v>6030.9479999999994</v>
      </c>
      <c r="O513">
        <f t="shared" si="51"/>
        <v>2001.7279999999996</v>
      </c>
      <c r="P513" s="2">
        <f t="shared" si="52"/>
        <v>0.33190934493217317</v>
      </c>
      <c r="Q513" t="str">
        <f t="shared" si="53"/>
        <v>Weekend</v>
      </c>
      <c r="R513" t="str">
        <f t="shared" si="54"/>
        <v>Aug</v>
      </c>
      <c r="S513">
        <f t="shared" si="55"/>
        <v>2024</v>
      </c>
    </row>
    <row r="514" spans="1:19" x14ac:dyDescent="0.25">
      <c r="A514">
        <v>100512</v>
      </c>
      <c r="B514" s="1">
        <v>45000</v>
      </c>
      <c r="C514" t="s">
        <v>60</v>
      </c>
      <c r="D514" t="s">
        <v>64</v>
      </c>
      <c r="E514" t="s">
        <v>256</v>
      </c>
      <c r="F514">
        <v>4</v>
      </c>
      <c r="G514">
        <v>1174.68</v>
      </c>
      <c r="H514">
        <v>5</v>
      </c>
      <c r="I514" t="str">
        <f>IF(Sales[[#This Row],[Discount]]&lt;=10,"0-10%",IF(Sales[[#This Row],[Discount]]&lt;=20,"10-20%","20-30%"))</f>
        <v>0-10%</v>
      </c>
      <c r="J514">
        <v>752.73</v>
      </c>
      <c r="K514" t="s">
        <v>261</v>
      </c>
      <c r="L514" t="s">
        <v>266</v>
      </c>
      <c r="M514">
        <f t="shared" si="49"/>
        <v>3010.92</v>
      </c>
      <c r="N514">
        <f t="shared" si="50"/>
        <v>4463.7839999999997</v>
      </c>
      <c r="O514">
        <f t="shared" si="51"/>
        <v>1452.8639999999996</v>
      </c>
      <c r="P514" s="2">
        <f t="shared" si="52"/>
        <v>0.32547811453242353</v>
      </c>
      <c r="Q514" t="str">
        <f t="shared" si="53"/>
        <v>Weekday</v>
      </c>
      <c r="R514" t="str">
        <f t="shared" si="54"/>
        <v>Mar</v>
      </c>
      <c r="S514">
        <f t="shared" si="55"/>
        <v>2023</v>
      </c>
    </row>
    <row r="515" spans="1:19" x14ac:dyDescent="0.25">
      <c r="A515">
        <v>100513</v>
      </c>
      <c r="B515" s="1">
        <v>45564</v>
      </c>
      <c r="C515" t="s">
        <v>55</v>
      </c>
      <c r="D515" t="s">
        <v>96</v>
      </c>
      <c r="E515" t="s">
        <v>258</v>
      </c>
      <c r="F515">
        <v>1</v>
      </c>
      <c r="G515">
        <v>3618.29</v>
      </c>
      <c r="H515">
        <v>15</v>
      </c>
      <c r="I515" t="str">
        <f>IF(Sales[[#This Row],[Discount]]&lt;=10,"0-10%",IF(Sales[[#This Row],[Discount]]&lt;=20,"10-20%","20-30%"))</f>
        <v>10-20%</v>
      </c>
      <c r="J515">
        <v>2132.44</v>
      </c>
      <c r="K515" t="s">
        <v>261</v>
      </c>
      <c r="L515" t="s">
        <v>263</v>
      </c>
      <c r="M515">
        <f t="shared" ref="M515:M578" si="56">F515*J515</f>
        <v>2132.44</v>
      </c>
      <c r="N515">
        <f t="shared" ref="N515:N578" si="57">F515*G515*(1-H515/100)</f>
        <v>3075.5464999999999</v>
      </c>
      <c r="O515">
        <f t="shared" ref="O515:O578" si="58">N515-M515</f>
        <v>943.10649999999987</v>
      </c>
      <c r="P515" s="2">
        <f t="shared" ref="P515:P578" si="59">O515/N515</f>
        <v>0.30664680244632941</v>
      </c>
      <c r="Q515" t="str">
        <f t="shared" ref="Q515:Q578" si="60">IF(WEEKDAY(B515,2)&gt;5,"Weekend","Weekday")</f>
        <v>Weekend</v>
      </c>
      <c r="R515" t="str">
        <f t="shared" ref="R515:R578" si="61">TEXT(B515,"mmm")</f>
        <v>Sep</v>
      </c>
      <c r="S515">
        <f t="shared" ref="S515:S578" si="62">YEAR(B515)</f>
        <v>2024</v>
      </c>
    </row>
    <row r="516" spans="1:19" x14ac:dyDescent="0.25">
      <c r="A516">
        <v>100514</v>
      </c>
      <c r="B516" s="1">
        <v>45538</v>
      </c>
      <c r="C516" t="s">
        <v>17</v>
      </c>
      <c r="D516" t="s">
        <v>244</v>
      </c>
      <c r="E516" t="s">
        <v>258</v>
      </c>
      <c r="F516">
        <v>2</v>
      </c>
      <c r="G516">
        <v>4574.13</v>
      </c>
      <c r="H516">
        <v>0</v>
      </c>
      <c r="I516" t="str">
        <f>IF(Sales[[#This Row],[Discount]]&lt;=10,"0-10%",IF(Sales[[#This Row],[Discount]]&lt;=20,"10-20%","20-30%"))</f>
        <v>0-10%</v>
      </c>
      <c r="J516">
        <v>2900.29</v>
      </c>
      <c r="K516" t="s">
        <v>261</v>
      </c>
      <c r="L516" t="s">
        <v>266</v>
      </c>
      <c r="M516">
        <f t="shared" si="56"/>
        <v>5800.58</v>
      </c>
      <c r="N516">
        <f t="shared" si="57"/>
        <v>9148.26</v>
      </c>
      <c r="O516">
        <f t="shared" si="58"/>
        <v>3347.6800000000003</v>
      </c>
      <c r="P516" s="2">
        <f t="shared" si="59"/>
        <v>0.36593625454458006</v>
      </c>
      <c r="Q516" t="str">
        <f t="shared" si="60"/>
        <v>Weekday</v>
      </c>
      <c r="R516" t="str">
        <f t="shared" si="61"/>
        <v>Sep</v>
      </c>
      <c r="S516">
        <f t="shared" si="62"/>
        <v>2024</v>
      </c>
    </row>
    <row r="517" spans="1:19" x14ac:dyDescent="0.25">
      <c r="A517">
        <v>100515</v>
      </c>
      <c r="B517" s="1">
        <v>45114</v>
      </c>
      <c r="C517" t="s">
        <v>46</v>
      </c>
      <c r="D517" t="s">
        <v>202</v>
      </c>
      <c r="E517" t="s">
        <v>254</v>
      </c>
      <c r="F517">
        <v>1</v>
      </c>
      <c r="G517">
        <v>1046.8699999999999</v>
      </c>
      <c r="H517">
        <v>0</v>
      </c>
      <c r="I517" t="str">
        <f>IF(Sales[[#This Row],[Discount]]&lt;=10,"0-10%",IF(Sales[[#This Row],[Discount]]&lt;=20,"10-20%","20-30%"))</f>
        <v>0-10%</v>
      </c>
      <c r="J517">
        <v>610.4</v>
      </c>
      <c r="K517" t="s">
        <v>261</v>
      </c>
      <c r="L517" t="s">
        <v>263</v>
      </c>
      <c r="M517">
        <f t="shared" si="56"/>
        <v>610.4</v>
      </c>
      <c r="N517">
        <f t="shared" si="57"/>
        <v>1046.8699999999999</v>
      </c>
      <c r="O517">
        <f t="shared" si="58"/>
        <v>436.46999999999991</v>
      </c>
      <c r="P517" s="2">
        <f t="shared" si="59"/>
        <v>0.41692855846475679</v>
      </c>
      <c r="Q517" t="str">
        <f t="shared" si="60"/>
        <v>Weekday</v>
      </c>
      <c r="R517" t="str">
        <f t="shared" si="61"/>
        <v>Jul</v>
      </c>
      <c r="S517">
        <f t="shared" si="62"/>
        <v>2023</v>
      </c>
    </row>
    <row r="518" spans="1:19" x14ac:dyDescent="0.25">
      <c r="A518">
        <v>100516</v>
      </c>
      <c r="B518" s="1">
        <v>45651</v>
      </c>
      <c r="C518" t="s">
        <v>23</v>
      </c>
      <c r="D518" t="s">
        <v>105</v>
      </c>
      <c r="E518" t="s">
        <v>259</v>
      </c>
      <c r="F518">
        <v>3</v>
      </c>
      <c r="G518">
        <v>4636.33</v>
      </c>
      <c r="H518">
        <v>0</v>
      </c>
      <c r="I518" t="str">
        <f>IF(Sales[[#This Row],[Discount]]&lt;=10,"0-10%",IF(Sales[[#This Row],[Discount]]&lt;=20,"10-20%","20-30%"))</f>
        <v>0-10%</v>
      </c>
      <c r="J518">
        <v>2511.12</v>
      </c>
      <c r="K518" t="s">
        <v>261</v>
      </c>
      <c r="L518" t="s">
        <v>266</v>
      </c>
      <c r="M518">
        <f t="shared" si="56"/>
        <v>7533.36</v>
      </c>
      <c r="N518">
        <f t="shared" si="57"/>
        <v>13908.99</v>
      </c>
      <c r="O518">
        <f t="shared" si="58"/>
        <v>6375.63</v>
      </c>
      <c r="P518" s="2">
        <f t="shared" si="59"/>
        <v>0.45838195296710976</v>
      </c>
      <c r="Q518" t="str">
        <f t="shared" si="60"/>
        <v>Weekday</v>
      </c>
      <c r="R518" t="str">
        <f t="shared" si="61"/>
        <v>Dec</v>
      </c>
      <c r="S518">
        <f t="shared" si="62"/>
        <v>2024</v>
      </c>
    </row>
    <row r="519" spans="1:19" x14ac:dyDescent="0.25">
      <c r="A519">
        <v>100517</v>
      </c>
      <c r="B519" s="1">
        <v>45146</v>
      </c>
      <c r="C519" t="s">
        <v>30</v>
      </c>
      <c r="D519" t="s">
        <v>181</v>
      </c>
      <c r="E519" t="s">
        <v>254</v>
      </c>
      <c r="F519">
        <v>4</v>
      </c>
      <c r="G519">
        <v>568.16</v>
      </c>
      <c r="H519">
        <v>10</v>
      </c>
      <c r="I519" t="str">
        <f>IF(Sales[[#This Row],[Discount]]&lt;=10,"0-10%",IF(Sales[[#This Row],[Discount]]&lt;=20,"10-20%","20-30%"))</f>
        <v>0-10%</v>
      </c>
      <c r="J519">
        <v>275.36</v>
      </c>
      <c r="K519" t="s">
        <v>268</v>
      </c>
      <c r="L519" t="s">
        <v>266</v>
      </c>
      <c r="M519">
        <f t="shared" si="56"/>
        <v>1101.44</v>
      </c>
      <c r="N519">
        <f t="shared" si="57"/>
        <v>2045.376</v>
      </c>
      <c r="O519">
        <f t="shared" si="58"/>
        <v>943.93599999999992</v>
      </c>
      <c r="P519" s="2">
        <f t="shared" si="59"/>
        <v>0.46149754372790136</v>
      </c>
      <c r="Q519" t="str">
        <f t="shared" si="60"/>
        <v>Weekday</v>
      </c>
      <c r="R519" t="str">
        <f t="shared" si="61"/>
        <v>Aug</v>
      </c>
      <c r="S519">
        <f t="shared" si="62"/>
        <v>2023</v>
      </c>
    </row>
    <row r="520" spans="1:19" x14ac:dyDescent="0.25">
      <c r="A520">
        <v>100518</v>
      </c>
      <c r="B520" s="1">
        <v>45326</v>
      </c>
      <c r="C520" t="s">
        <v>33</v>
      </c>
      <c r="D520" t="s">
        <v>187</v>
      </c>
      <c r="E520" t="s">
        <v>258</v>
      </c>
      <c r="F520">
        <v>3</v>
      </c>
      <c r="G520">
        <v>1595.38</v>
      </c>
      <c r="H520">
        <v>5</v>
      </c>
      <c r="I520" t="str">
        <f>IF(Sales[[#This Row],[Discount]]&lt;=10,"0-10%",IF(Sales[[#This Row],[Discount]]&lt;=20,"10-20%","20-30%"))</f>
        <v>0-10%</v>
      </c>
      <c r="J520">
        <v>1014.88</v>
      </c>
      <c r="K520" t="s">
        <v>261</v>
      </c>
      <c r="L520" t="s">
        <v>264</v>
      </c>
      <c r="M520">
        <f t="shared" si="56"/>
        <v>3044.64</v>
      </c>
      <c r="N520">
        <f t="shared" si="57"/>
        <v>4546.8330000000005</v>
      </c>
      <c r="O520">
        <f t="shared" si="58"/>
        <v>1502.1930000000007</v>
      </c>
      <c r="P520" s="2">
        <f t="shared" si="59"/>
        <v>0.33038226827332356</v>
      </c>
      <c r="Q520" t="str">
        <f t="shared" si="60"/>
        <v>Weekend</v>
      </c>
      <c r="R520" t="str">
        <f t="shared" si="61"/>
        <v>Feb</v>
      </c>
      <c r="S520">
        <f t="shared" si="62"/>
        <v>2024</v>
      </c>
    </row>
    <row r="521" spans="1:19" x14ac:dyDescent="0.25">
      <c r="A521">
        <v>100519</v>
      </c>
      <c r="B521" s="1">
        <v>45482</v>
      </c>
      <c r="C521" t="s">
        <v>16</v>
      </c>
      <c r="D521" t="s">
        <v>210</v>
      </c>
      <c r="E521" t="s">
        <v>256</v>
      </c>
      <c r="F521">
        <v>3</v>
      </c>
      <c r="G521">
        <v>2413.7800000000002</v>
      </c>
      <c r="H521">
        <v>15</v>
      </c>
      <c r="I521" t="str">
        <f>IF(Sales[[#This Row],[Discount]]&lt;=10,"0-10%",IF(Sales[[#This Row],[Discount]]&lt;=20,"10-20%","20-30%"))</f>
        <v>10-20%</v>
      </c>
      <c r="J521">
        <v>1527.95</v>
      </c>
      <c r="K521" t="s">
        <v>261</v>
      </c>
      <c r="L521" t="s">
        <v>263</v>
      </c>
      <c r="M521">
        <f t="shared" si="56"/>
        <v>4583.8500000000004</v>
      </c>
      <c r="N521">
        <f t="shared" si="57"/>
        <v>6155.1390000000001</v>
      </c>
      <c r="O521">
        <f t="shared" si="58"/>
        <v>1571.2889999999998</v>
      </c>
      <c r="P521" s="2">
        <f t="shared" si="59"/>
        <v>0.25528083118837769</v>
      </c>
      <c r="Q521" t="str">
        <f t="shared" si="60"/>
        <v>Weekday</v>
      </c>
      <c r="R521" t="str">
        <f t="shared" si="61"/>
        <v>Jul</v>
      </c>
      <c r="S521">
        <f t="shared" si="62"/>
        <v>2024</v>
      </c>
    </row>
    <row r="522" spans="1:19" x14ac:dyDescent="0.25">
      <c r="A522">
        <v>100520</v>
      </c>
      <c r="B522" s="1">
        <v>45176</v>
      </c>
      <c r="C522" t="s">
        <v>31</v>
      </c>
      <c r="D522" t="s">
        <v>245</v>
      </c>
      <c r="E522" t="s">
        <v>260</v>
      </c>
      <c r="F522">
        <v>1</v>
      </c>
      <c r="G522">
        <v>4309.5200000000004</v>
      </c>
      <c r="H522">
        <v>0</v>
      </c>
      <c r="I522" t="str">
        <f>IF(Sales[[#This Row],[Discount]]&lt;=10,"0-10%",IF(Sales[[#This Row],[Discount]]&lt;=20,"10-20%","20-30%"))</f>
        <v>0-10%</v>
      </c>
      <c r="J522">
        <v>1783.93</v>
      </c>
      <c r="K522" t="s">
        <v>261</v>
      </c>
      <c r="L522" t="s">
        <v>267</v>
      </c>
      <c r="M522">
        <f t="shared" si="56"/>
        <v>1783.93</v>
      </c>
      <c r="N522">
        <f t="shared" si="57"/>
        <v>4309.5200000000004</v>
      </c>
      <c r="O522">
        <f t="shared" si="58"/>
        <v>2525.59</v>
      </c>
      <c r="P522" s="2">
        <f t="shared" si="59"/>
        <v>0.58604902634168077</v>
      </c>
      <c r="Q522" t="str">
        <f t="shared" si="60"/>
        <v>Weekday</v>
      </c>
      <c r="R522" t="str">
        <f t="shared" si="61"/>
        <v>Sep</v>
      </c>
      <c r="S522">
        <f t="shared" si="62"/>
        <v>2023</v>
      </c>
    </row>
    <row r="523" spans="1:19" x14ac:dyDescent="0.25">
      <c r="A523">
        <v>100521</v>
      </c>
      <c r="B523" s="1">
        <v>45445</v>
      </c>
      <c r="C523" t="s">
        <v>17</v>
      </c>
      <c r="D523" t="s">
        <v>244</v>
      </c>
      <c r="E523" t="s">
        <v>260</v>
      </c>
      <c r="F523">
        <v>1</v>
      </c>
      <c r="G523">
        <v>1925.83</v>
      </c>
      <c r="H523">
        <v>0</v>
      </c>
      <c r="I523" t="str">
        <f>IF(Sales[[#This Row],[Discount]]&lt;=10,"0-10%",IF(Sales[[#This Row],[Discount]]&lt;=20,"10-20%","20-30%"))</f>
        <v>0-10%</v>
      </c>
      <c r="J523">
        <v>952.43</v>
      </c>
      <c r="K523" t="s">
        <v>268</v>
      </c>
      <c r="L523" t="s">
        <v>263</v>
      </c>
      <c r="M523">
        <f t="shared" si="56"/>
        <v>952.43</v>
      </c>
      <c r="N523">
        <f t="shared" si="57"/>
        <v>1925.83</v>
      </c>
      <c r="O523">
        <f t="shared" si="58"/>
        <v>973.4</v>
      </c>
      <c r="P523" s="2">
        <f t="shared" si="59"/>
        <v>0.50544440578867289</v>
      </c>
      <c r="Q523" t="str">
        <f t="shared" si="60"/>
        <v>Weekend</v>
      </c>
      <c r="R523" t="str">
        <f t="shared" si="61"/>
        <v>Jun</v>
      </c>
      <c r="S523">
        <f t="shared" si="62"/>
        <v>2024</v>
      </c>
    </row>
    <row r="524" spans="1:19" x14ac:dyDescent="0.25">
      <c r="A524">
        <v>100522</v>
      </c>
      <c r="B524" s="1">
        <v>45129</v>
      </c>
      <c r="C524" t="s">
        <v>28</v>
      </c>
      <c r="D524" t="s">
        <v>95</v>
      </c>
      <c r="E524" t="s">
        <v>257</v>
      </c>
      <c r="F524">
        <v>3</v>
      </c>
      <c r="G524">
        <v>1412.89</v>
      </c>
      <c r="H524">
        <v>15</v>
      </c>
      <c r="I524" t="str">
        <f>IF(Sales[[#This Row],[Discount]]&lt;=10,"0-10%",IF(Sales[[#This Row],[Discount]]&lt;=20,"10-20%","20-30%"))</f>
        <v>10-20%</v>
      </c>
      <c r="J524">
        <v>875.62</v>
      </c>
      <c r="K524" t="s">
        <v>268</v>
      </c>
      <c r="L524" t="s">
        <v>265</v>
      </c>
      <c r="M524">
        <f t="shared" si="56"/>
        <v>2626.86</v>
      </c>
      <c r="N524">
        <f t="shared" si="57"/>
        <v>3602.8694999999998</v>
      </c>
      <c r="O524">
        <f t="shared" si="58"/>
        <v>976.00949999999966</v>
      </c>
      <c r="P524" s="2">
        <f t="shared" si="59"/>
        <v>0.27089782186115807</v>
      </c>
      <c r="Q524" t="str">
        <f t="shared" si="60"/>
        <v>Weekend</v>
      </c>
      <c r="R524" t="str">
        <f t="shared" si="61"/>
        <v>Jul</v>
      </c>
      <c r="S524">
        <f t="shared" si="62"/>
        <v>2023</v>
      </c>
    </row>
    <row r="525" spans="1:19" x14ac:dyDescent="0.25">
      <c r="A525">
        <v>100523</v>
      </c>
      <c r="B525" s="1">
        <v>45352</v>
      </c>
      <c r="C525" t="s">
        <v>40</v>
      </c>
      <c r="D525" t="s">
        <v>188</v>
      </c>
      <c r="E525" t="s">
        <v>254</v>
      </c>
      <c r="F525">
        <v>4</v>
      </c>
      <c r="G525">
        <v>2932.79</v>
      </c>
      <c r="H525">
        <v>0</v>
      </c>
      <c r="I525" t="str">
        <f>IF(Sales[[#This Row],[Discount]]&lt;=10,"0-10%",IF(Sales[[#This Row],[Discount]]&lt;=20,"10-20%","20-30%"))</f>
        <v>0-10%</v>
      </c>
      <c r="J525">
        <v>1997.37</v>
      </c>
      <c r="K525" t="s">
        <v>261</v>
      </c>
      <c r="L525" t="s">
        <v>265</v>
      </c>
      <c r="M525">
        <f t="shared" si="56"/>
        <v>7989.48</v>
      </c>
      <c r="N525">
        <f t="shared" si="57"/>
        <v>11731.16</v>
      </c>
      <c r="O525">
        <f t="shared" si="58"/>
        <v>3741.6800000000003</v>
      </c>
      <c r="P525" s="2">
        <f t="shared" si="59"/>
        <v>0.31895226047551994</v>
      </c>
      <c r="Q525" t="str">
        <f t="shared" si="60"/>
        <v>Weekday</v>
      </c>
      <c r="R525" t="str">
        <f t="shared" si="61"/>
        <v>Mar</v>
      </c>
      <c r="S525">
        <f t="shared" si="62"/>
        <v>2024</v>
      </c>
    </row>
    <row r="526" spans="1:19" x14ac:dyDescent="0.25">
      <c r="A526">
        <v>100524</v>
      </c>
      <c r="B526" s="1">
        <v>45091</v>
      </c>
      <c r="C526" t="s">
        <v>41</v>
      </c>
      <c r="D526" t="s">
        <v>110</v>
      </c>
      <c r="E526" t="s">
        <v>257</v>
      </c>
      <c r="F526">
        <v>4</v>
      </c>
      <c r="G526">
        <v>4002.25</v>
      </c>
      <c r="H526">
        <v>5</v>
      </c>
      <c r="I526" t="str">
        <f>IF(Sales[[#This Row],[Discount]]&lt;=10,"0-10%",IF(Sales[[#This Row],[Discount]]&lt;=20,"10-20%","20-30%"))</f>
        <v>0-10%</v>
      </c>
      <c r="J526">
        <v>2350.63</v>
      </c>
      <c r="K526" t="s">
        <v>268</v>
      </c>
      <c r="L526" t="s">
        <v>264</v>
      </c>
      <c r="M526">
        <f t="shared" si="56"/>
        <v>9402.52</v>
      </c>
      <c r="N526">
        <f t="shared" si="57"/>
        <v>15208.55</v>
      </c>
      <c r="O526">
        <f t="shared" si="58"/>
        <v>5806.0299999999988</v>
      </c>
      <c r="P526" s="2">
        <f t="shared" si="59"/>
        <v>0.38176091737871126</v>
      </c>
      <c r="Q526" t="str">
        <f t="shared" si="60"/>
        <v>Weekday</v>
      </c>
      <c r="R526" t="str">
        <f t="shared" si="61"/>
        <v>Jun</v>
      </c>
      <c r="S526">
        <f t="shared" si="62"/>
        <v>2023</v>
      </c>
    </row>
    <row r="527" spans="1:19" x14ac:dyDescent="0.25">
      <c r="A527">
        <v>100525</v>
      </c>
      <c r="B527" s="1">
        <v>45656</v>
      </c>
      <c r="C527" t="s">
        <v>22</v>
      </c>
      <c r="D527" t="s">
        <v>176</v>
      </c>
      <c r="E527" t="s">
        <v>260</v>
      </c>
      <c r="F527">
        <v>1</v>
      </c>
      <c r="G527">
        <v>1505.69</v>
      </c>
      <c r="H527">
        <v>15</v>
      </c>
      <c r="I527" t="str">
        <f>IF(Sales[[#This Row],[Discount]]&lt;=10,"0-10%",IF(Sales[[#This Row],[Discount]]&lt;=20,"10-20%","20-30%"))</f>
        <v>10-20%</v>
      </c>
      <c r="J527">
        <v>897.77</v>
      </c>
      <c r="K527" t="s">
        <v>262</v>
      </c>
      <c r="L527" t="s">
        <v>263</v>
      </c>
      <c r="M527">
        <f t="shared" si="56"/>
        <v>897.77</v>
      </c>
      <c r="N527">
        <f t="shared" si="57"/>
        <v>1279.8365000000001</v>
      </c>
      <c r="O527">
        <f t="shared" si="58"/>
        <v>382.06650000000013</v>
      </c>
      <c r="P527" s="2">
        <f t="shared" si="59"/>
        <v>0.29852758535953622</v>
      </c>
      <c r="Q527" t="str">
        <f t="shared" si="60"/>
        <v>Weekday</v>
      </c>
      <c r="R527" t="str">
        <f t="shared" si="61"/>
        <v>Dec</v>
      </c>
      <c r="S527">
        <f t="shared" si="62"/>
        <v>2024</v>
      </c>
    </row>
    <row r="528" spans="1:19" x14ac:dyDescent="0.25">
      <c r="A528">
        <v>100526</v>
      </c>
      <c r="B528" s="1">
        <v>45310</v>
      </c>
      <c r="C528" t="s">
        <v>40</v>
      </c>
      <c r="D528" t="s">
        <v>246</v>
      </c>
      <c r="E528" t="s">
        <v>255</v>
      </c>
      <c r="F528">
        <v>4</v>
      </c>
      <c r="G528">
        <v>1889.84</v>
      </c>
      <c r="H528">
        <v>25</v>
      </c>
      <c r="I528" t="str">
        <f>IF(Sales[[#This Row],[Discount]]&lt;=10,"0-10%",IF(Sales[[#This Row],[Discount]]&lt;=20,"10-20%","20-30%"))</f>
        <v>20-30%</v>
      </c>
      <c r="J528">
        <v>930.95</v>
      </c>
      <c r="K528" t="s">
        <v>262</v>
      </c>
      <c r="L528" t="s">
        <v>263</v>
      </c>
      <c r="M528">
        <f t="shared" si="56"/>
        <v>3723.8</v>
      </c>
      <c r="N528">
        <f t="shared" si="57"/>
        <v>5669.5199999999995</v>
      </c>
      <c r="O528">
        <f t="shared" si="58"/>
        <v>1945.7199999999993</v>
      </c>
      <c r="P528" s="2">
        <f t="shared" si="59"/>
        <v>0.34318954691049675</v>
      </c>
      <c r="Q528" t="str">
        <f t="shared" si="60"/>
        <v>Weekday</v>
      </c>
      <c r="R528" t="str">
        <f t="shared" si="61"/>
        <v>Jan</v>
      </c>
      <c r="S528">
        <f t="shared" si="62"/>
        <v>2024</v>
      </c>
    </row>
    <row r="529" spans="1:19" x14ac:dyDescent="0.25">
      <c r="A529">
        <v>100527</v>
      </c>
      <c r="B529" s="1">
        <v>45555</v>
      </c>
      <c r="C529" t="s">
        <v>19</v>
      </c>
      <c r="D529" t="s">
        <v>119</v>
      </c>
      <c r="E529" t="s">
        <v>260</v>
      </c>
      <c r="F529">
        <v>1</v>
      </c>
      <c r="G529">
        <v>1160.17</v>
      </c>
      <c r="H529">
        <v>0</v>
      </c>
      <c r="I529" t="str">
        <f>IF(Sales[[#This Row],[Discount]]&lt;=10,"0-10%",IF(Sales[[#This Row],[Discount]]&lt;=20,"10-20%","20-30%"))</f>
        <v>0-10%</v>
      </c>
      <c r="J529">
        <v>471.74</v>
      </c>
      <c r="K529" t="s">
        <v>261</v>
      </c>
      <c r="L529" t="s">
        <v>265</v>
      </c>
      <c r="M529">
        <f t="shared" si="56"/>
        <v>471.74</v>
      </c>
      <c r="N529">
        <f t="shared" si="57"/>
        <v>1160.17</v>
      </c>
      <c r="O529">
        <f t="shared" si="58"/>
        <v>688.43000000000006</v>
      </c>
      <c r="P529" s="2">
        <f t="shared" si="59"/>
        <v>0.59338717601730784</v>
      </c>
      <c r="Q529" t="str">
        <f t="shared" si="60"/>
        <v>Weekday</v>
      </c>
      <c r="R529" t="str">
        <f t="shared" si="61"/>
        <v>Sep</v>
      </c>
      <c r="S529">
        <f t="shared" si="62"/>
        <v>2024</v>
      </c>
    </row>
    <row r="530" spans="1:19" x14ac:dyDescent="0.25">
      <c r="A530">
        <v>100528</v>
      </c>
      <c r="B530" s="1">
        <v>45215</v>
      </c>
      <c r="C530" t="s">
        <v>12</v>
      </c>
      <c r="D530" t="s">
        <v>76</v>
      </c>
      <c r="E530" t="s">
        <v>260</v>
      </c>
      <c r="F530">
        <v>3</v>
      </c>
      <c r="G530">
        <v>1479.54</v>
      </c>
      <c r="H530">
        <v>0</v>
      </c>
      <c r="I530" t="str">
        <f>IF(Sales[[#This Row],[Discount]]&lt;=10,"0-10%",IF(Sales[[#This Row],[Discount]]&lt;=20,"10-20%","20-30%"))</f>
        <v>0-10%</v>
      </c>
      <c r="J530">
        <v>969.37</v>
      </c>
      <c r="K530" t="s">
        <v>261</v>
      </c>
      <c r="L530" t="s">
        <v>267</v>
      </c>
      <c r="M530">
        <f t="shared" si="56"/>
        <v>2908.11</v>
      </c>
      <c r="N530">
        <f t="shared" si="57"/>
        <v>4438.62</v>
      </c>
      <c r="O530">
        <f t="shared" si="58"/>
        <v>1530.5099999999998</v>
      </c>
      <c r="P530" s="2">
        <f t="shared" si="59"/>
        <v>0.34481663219649344</v>
      </c>
      <c r="Q530" t="str">
        <f t="shared" si="60"/>
        <v>Weekday</v>
      </c>
      <c r="R530" t="str">
        <f t="shared" si="61"/>
        <v>Oct</v>
      </c>
      <c r="S530">
        <f t="shared" si="62"/>
        <v>2023</v>
      </c>
    </row>
    <row r="531" spans="1:19" x14ac:dyDescent="0.25">
      <c r="A531">
        <v>100529</v>
      </c>
      <c r="B531" s="1">
        <v>44969</v>
      </c>
      <c r="C531" t="s">
        <v>15</v>
      </c>
      <c r="D531" t="s">
        <v>217</v>
      </c>
      <c r="E531" t="s">
        <v>255</v>
      </c>
      <c r="F531">
        <v>4</v>
      </c>
      <c r="G531">
        <v>839.41</v>
      </c>
      <c r="H531">
        <v>0</v>
      </c>
      <c r="I531" t="str">
        <f>IF(Sales[[#This Row],[Discount]]&lt;=10,"0-10%",IF(Sales[[#This Row],[Discount]]&lt;=20,"10-20%","20-30%"))</f>
        <v>0-10%</v>
      </c>
      <c r="J531">
        <v>552.37</v>
      </c>
      <c r="K531" t="s">
        <v>268</v>
      </c>
      <c r="L531" t="s">
        <v>266</v>
      </c>
      <c r="M531">
        <f t="shared" si="56"/>
        <v>2209.48</v>
      </c>
      <c r="N531">
        <f t="shared" si="57"/>
        <v>3357.64</v>
      </c>
      <c r="O531">
        <f t="shared" si="58"/>
        <v>1148.1599999999999</v>
      </c>
      <c r="P531" s="2">
        <f t="shared" si="59"/>
        <v>0.34195446801920393</v>
      </c>
      <c r="Q531" t="str">
        <f t="shared" si="60"/>
        <v>Weekend</v>
      </c>
      <c r="R531" t="str">
        <f t="shared" si="61"/>
        <v>Feb</v>
      </c>
      <c r="S531">
        <f t="shared" si="62"/>
        <v>2023</v>
      </c>
    </row>
    <row r="532" spans="1:19" x14ac:dyDescent="0.25">
      <c r="A532">
        <v>100530</v>
      </c>
      <c r="B532" s="1">
        <v>45420</v>
      </c>
      <c r="C532" t="s">
        <v>30</v>
      </c>
      <c r="D532" t="s">
        <v>93</v>
      </c>
      <c r="E532" t="s">
        <v>258</v>
      </c>
      <c r="F532">
        <v>3</v>
      </c>
      <c r="G532">
        <v>3626.82</v>
      </c>
      <c r="H532">
        <v>0</v>
      </c>
      <c r="I532" t="str">
        <f>IF(Sales[[#This Row],[Discount]]&lt;=10,"0-10%",IF(Sales[[#This Row],[Discount]]&lt;=20,"10-20%","20-30%"))</f>
        <v>0-10%</v>
      </c>
      <c r="J532">
        <v>2042.12</v>
      </c>
      <c r="K532" t="s">
        <v>262</v>
      </c>
      <c r="L532" t="s">
        <v>263</v>
      </c>
      <c r="M532">
        <f t="shared" si="56"/>
        <v>6126.36</v>
      </c>
      <c r="N532">
        <f t="shared" si="57"/>
        <v>10880.460000000001</v>
      </c>
      <c r="O532">
        <f t="shared" si="58"/>
        <v>4754.1000000000013</v>
      </c>
      <c r="P532" s="2">
        <f t="shared" si="59"/>
        <v>0.43693924705389303</v>
      </c>
      <c r="Q532" t="str">
        <f t="shared" si="60"/>
        <v>Weekday</v>
      </c>
      <c r="R532" t="str">
        <f t="shared" si="61"/>
        <v>May</v>
      </c>
      <c r="S532">
        <f t="shared" si="62"/>
        <v>2024</v>
      </c>
    </row>
    <row r="533" spans="1:19" x14ac:dyDescent="0.25">
      <c r="A533">
        <v>100531</v>
      </c>
      <c r="B533" s="1">
        <v>45440</v>
      </c>
      <c r="C533" t="s">
        <v>47</v>
      </c>
      <c r="D533" t="s">
        <v>197</v>
      </c>
      <c r="E533" t="s">
        <v>255</v>
      </c>
      <c r="F533">
        <v>2</v>
      </c>
      <c r="G533">
        <v>2578.0700000000002</v>
      </c>
      <c r="H533">
        <v>5</v>
      </c>
      <c r="I533" t="str">
        <f>IF(Sales[[#This Row],[Discount]]&lt;=10,"0-10%",IF(Sales[[#This Row],[Discount]]&lt;=20,"10-20%","20-30%"))</f>
        <v>0-10%</v>
      </c>
      <c r="J533">
        <v>1159.44</v>
      </c>
      <c r="K533" t="s">
        <v>261</v>
      </c>
      <c r="L533" t="s">
        <v>265</v>
      </c>
      <c r="M533">
        <f t="shared" si="56"/>
        <v>2318.88</v>
      </c>
      <c r="N533">
        <f t="shared" si="57"/>
        <v>4898.3329999999996</v>
      </c>
      <c r="O533">
        <f t="shared" si="58"/>
        <v>2579.4529999999995</v>
      </c>
      <c r="P533" s="2">
        <f t="shared" si="59"/>
        <v>0.52659813042518744</v>
      </c>
      <c r="Q533" t="str">
        <f t="shared" si="60"/>
        <v>Weekday</v>
      </c>
      <c r="R533" t="str">
        <f t="shared" si="61"/>
        <v>May</v>
      </c>
      <c r="S533">
        <f t="shared" si="62"/>
        <v>2024</v>
      </c>
    </row>
    <row r="534" spans="1:19" x14ac:dyDescent="0.25">
      <c r="A534">
        <v>100532</v>
      </c>
      <c r="B534" s="1">
        <v>45070</v>
      </c>
      <c r="C534" t="s">
        <v>39</v>
      </c>
      <c r="D534" t="s">
        <v>101</v>
      </c>
      <c r="E534" t="s">
        <v>255</v>
      </c>
      <c r="F534">
        <v>4</v>
      </c>
      <c r="G534">
        <v>1315.63</v>
      </c>
      <c r="H534">
        <v>0</v>
      </c>
      <c r="I534" t="str">
        <f>IF(Sales[[#This Row],[Discount]]&lt;=10,"0-10%",IF(Sales[[#This Row],[Discount]]&lt;=20,"10-20%","20-30%"))</f>
        <v>0-10%</v>
      </c>
      <c r="J534">
        <v>564.76</v>
      </c>
      <c r="K534" t="s">
        <v>262</v>
      </c>
      <c r="L534" t="s">
        <v>266</v>
      </c>
      <c r="M534">
        <f t="shared" si="56"/>
        <v>2259.04</v>
      </c>
      <c r="N534">
        <f t="shared" si="57"/>
        <v>5262.52</v>
      </c>
      <c r="O534">
        <f t="shared" si="58"/>
        <v>3003.4800000000005</v>
      </c>
      <c r="P534" s="2">
        <f t="shared" si="59"/>
        <v>0.57073037252114955</v>
      </c>
      <c r="Q534" t="str">
        <f t="shared" si="60"/>
        <v>Weekday</v>
      </c>
      <c r="R534" t="str">
        <f t="shared" si="61"/>
        <v>May</v>
      </c>
      <c r="S534">
        <f t="shared" si="62"/>
        <v>2023</v>
      </c>
    </row>
    <row r="535" spans="1:19" x14ac:dyDescent="0.25">
      <c r="A535">
        <v>100533</v>
      </c>
      <c r="B535" s="1">
        <v>45270</v>
      </c>
      <c r="C535" t="s">
        <v>60</v>
      </c>
      <c r="D535" t="s">
        <v>247</v>
      </c>
      <c r="E535" t="s">
        <v>257</v>
      </c>
      <c r="F535">
        <v>3</v>
      </c>
      <c r="G535">
        <v>3359.58</v>
      </c>
      <c r="H535">
        <v>30</v>
      </c>
      <c r="I535" t="str">
        <f>IF(Sales[[#This Row],[Discount]]&lt;=10,"0-10%",IF(Sales[[#This Row],[Discount]]&lt;=20,"10-20%","20-30%"))</f>
        <v>20-30%</v>
      </c>
      <c r="J535">
        <v>1893.56</v>
      </c>
      <c r="K535" t="s">
        <v>262</v>
      </c>
      <c r="L535" t="s">
        <v>267</v>
      </c>
      <c r="M535">
        <f t="shared" si="56"/>
        <v>5680.68</v>
      </c>
      <c r="N535">
        <f t="shared" si="57"/>
        <v>7055.1179999999995</v>
      </c>
      <c r="O535">
        <f t="shared" si="58"/>
        <v>1374.4379999999992</v>
      </c>
      <c r="P535" s="2">
        <f t="shared" si="59"/>
        <v>0.19481431777611646</v>
      </c>
      <c r="Q535" t="str">
        <f t="shared" si="60"/>
        <v>Weekend</v>
      </c>
      <c r="R535" t="str">
        <f t="shared" si="61"/>
        <v>Dec</v>
      </c>
      <c r="S535">
        <f t="shared" si="62"/>
        <v>2023</v>
      </c>
    </row>
    <row r="536" spans="1:19" x14ac:dyDescent="0.25">
      <c r="A536">
        <v>100534</v>
      </c>
      <c r="B536" s="1">
        <v>45630</v>
      </c>
      <c r="C536" t="s">
        <v>21</v>
      </c>
      <c r="D536" t="s">
        <v>173</v>
      </c>
      <c r="E536" t="s">
        <v>255</v>
      </c>
      <c r="F536">
        <v>2</v>
      </c>
      <c r="G536">
        <v>4090.1</v>
      </c>
      <c r="H536">
        <v>25</v>
      </c>
      <c r="I536" t="str">
        <f>IF(Sales[[#This Row],[Discount]]&lt;=10,"0-10%",IF(Sales[[#This Row],[Discount]]&lt;=20,"10-20%","20-30%"))</f>
        <v>20-30%</v>
      </c>
      <c r="J536">
        <v>2199.54</v>
      </c>
      <c r="K536" t="s">
        <v>261</v>
      </c>
      <c r="L536" t="s">
        <v>267</v>
      </c>
      <c r="M536">
        <f t="shared" si="56"/>
        <v>4399.08</v>
      </c>
      <c r="N536">
        <f t="shared" si="57"/>
        <v>6135.15</v>
      </c>
      <c r="O536">
        <f t="shared" si="58"/>
        <v>1736.0699999999997</v>
      </c>
      <c r="P536" s="2">
        <f t="shared" si="59"/>
        <v>0.28297107650179698</v>
      </c>
      <c r="Q536" t="str">
        <f t="shared" si="60"/>
        <v>Weekday</v>
      </c>
      <c r="R536" t="str">
        <f t="shared" si="61"/>
        <v>Dec</v>
      </c>
      <c r="S536">
        <f t="shared" si="62"/>
        <v>2024</v>
      </c>
    </row>
    <row r="537" spans="1:19" x14ac:dyDescent="0.25">
      <c r="A537">
        <v>100535</v>
      </c>
      <c r="B537" s="1">
        <v>45458</v>
      </c>
      <c r="C537" t="s">
        <v>28</v>
      </c>
      <c r="D537" t="s">
        <v>188</v>
      </c>
      <c r="E537" t="s">
        <v>254</v>
      </c>
      <c r="F537">
        <v>1</v>
      </c>
      <c r="G537">
        <v>1246.4100000000001</v>
      </c>
      <c r="H537">
        <v>5</v>
      </c>
      <c r="I537" t="str">
        <f>IF(Sales[[#This Row],[Discount]]&lt;=10,"0-10%",IF(Sales[[#This Row],[Discount]]&lt;=20,"10-20%","20-30%"))</f>
        <v>0-10%</v>
      </c>
      <c r="J537">
        <v>595.27</v>
      </c>
      <c r="K537" t="s">
        <v>268</v>
      </c>
      <c r="L537" t="s">
        <v>263</v>
      </c>
      <c r="M537">
        <f t="shared" si="56"/>
        <v>595.27</v>
      </c>
      <c r="N537">
        <f t="shared" si="57"/>
        <v>1184.0895</v>
      </c>
      <c r="O537">
        <f t="shared" si="58"/>
        <v>588.81950000000006</v>
      </c>
      <c r="P537" s="2">
        <f t="shared" si="59"/>
        <v>0.49727617718086348</v>
      </c>
      <c r="Q537" t="str">
        <f t="shared" si="60"/>
        <v>Weekend</v>
      </c>
      <c r="R537" t="str">
        <f t="shared" si="61"/>
        <v>Jun</v>
      </c>
      <c r="S537">
        <f t="shared" si="62"/>
        <v>2024</v>
      </c>
    </row>
    <row r="538" spans="1:19" x14ac:dyDescent="0.25">
      <c r="A538">
        <v>100536</v>
      </c>
      <c r="B538" s="1">
        <v>45581</v>
      </c>
      <c r="C538" t="s">
        <v>44</v>
      </c>
      <c r="D538" t="s">
        <v>248</v>
      </c>
      <c r="E538" t="s">
        <v>256</v>
      </c>
      <c r="F538">
        <v>3</v>
      </c>
      <c r="G538">
        <v>3864.6</v>
      </c>
      <c r="H538">
        <v>25</v>
      </c>
      <c r="I538" t="str">
        <f>IF(Sales[[#This Row],[Discount]]&lt;=10,"0-10%",IF(Sales[[#This Row],[Discount]]&lt;=20,"10-20%","20-30%"))</f>
        <v>20-30%</v>
      </c>
      <c r="J538">
        <v>2420.14</v>
      </c>
      <c r="K538" t="s">
        <v>268</v>
      </c>
      <c r="L538" t="s">
        <v>267</v>
      </c>
      <c r="M538">
        <f t="shared" si="56"/>
        <v>7260.42</v>
      </c>
      <c r="N538">
        <f t="shared" si="57"/>
        <v>8695.3499999999985</v>
      </c>
      <c r="O538">
        <f t="shared" si="58"/>
        <v>1434.9299999999985</v>
      </c>
      <c r="P538" s="2">
        <f t="shared" si="59"/>
        <v>0.16502268453828756</v>
      </c>
      <c r="Q538" t="str">
        <f t="shared" si="60"/>
        <v>Weekday</v>
      </c>
      <c r="R538" t="str">
        <f t="shared" si="61"/>
        <v>Oct</v>
      </c>
      <c r="S538">
        <f t="shared" si="62"/>
        <v>2024</v>
      </c>
    </row>
    <row r="539" spans="1:19" x14ac:dyDescent="0.25">
      <c r="A539">
        <v>100537</v>
      </c>
      <c r="B539" s="1">
        <v>45530</v>
      </c>
      <c r="C539" t="s">
        <v>50</v>
      </c>
      <c r="D539" t="s">
        <v>146</v>
      </c>
      <c r="E539" t="s">
        <v>256</v>
      </c>
      <c r="F539">
        <v>4</v>
      </c>
      <c r="G539">
        <v>4425.8</v>
      </c>
      <c r="H539">
        <v>10</v>
      </c>
      <c r="I539" t="str">
        <f>IF(Sales[[#This Row],[Discount]]&lt;=10,"0-10%",IF(Sales[[#This Row],[Discount]]&lt;=20,"10-20%","20-30%"))</f>
        <v>0-10%</v>
      </c>
      <c r="J539">
        <v>2938.18</v>
      </c>
      <c r="K539" t="s">
        <v>262</v>
      </c>
      <c r="L539" t="s">
        <v>265</v>
      </c>
      <c r="M539">
        <f t="shared" si="56"/>
        <v>11752.72</v>
      </c>
      <c r="N539">
        <f t="shared" si="57"/>
        <v>15932.880000000001</v>
      </c>
      <c r="O539">
        <f t="shared" si="58"/>
        <v>4180.1600000000017</v>
      </c>
      <c r="P539" s="2">
        <f t="shared" si="59"/>
        <v>0.26236060272844591</v>
      </c>
      <c r="Q539" t="str">
        <f t="shared" si="60"/>
        <v>Weekday</v>
      </c>
      <c r="R539" t="str">
        <f t="shared" si="61"/>
        <v>Aug</v>
      </c>
      <c r="S539">
        <f t="shared" si="62"/>
        <v>2024</v>
      </c>
    </row>
    <row r="540" spans="1:19" x14ac:dyDescent="0.25">
      <c r="A540">
        <v>100538</v>
      </c>
      <c r="B540" s="1">
        <v>44952</v>
      </c>
      <c r="C540" t="s">
        <v>43</v>
      </c>
      <c r="D540" t="s">
        <v>90</v>
      </c>
      <c r="E540" t="s">
        <v>254</v>
      </c>
      <c r="F540">
        <v>3</v>
      </c>
      <c r="G540">
        <v>4749.2</v>
      </c>
      <c r="H540">
        <v>20</v>
      </c>
      <c r="I540" t="str">
        <f>IF(Sales[[#This Row],[Discount]]&lt;=10,"0-10%",IF(Sales[[#This Row],[Discount]]&lt;=20,"10-20%","20-30%"))</f>
        <v>10-20%</v>
      </c>
      <c r="J540">
        <v>2697.81</v>
      </c>
      <c r="K540" t="s">
        <v>268</v>
      </c>
      <c r="L540" t="s">
        <v>264</v>
      </c>
      <c r="M540">
        <f t="shared" si="56"/>
        <v>8093.43</v>
      </c>
      <c r="N540">
        <f t="shared" si="57"/>
        <v>11398.08</v>
      </c>
      <c r="O540">
        <f t="shared" si="58"/>
        <v>3304.6499999999996</v>
      </c>
      <c r="P540" s="2">
        <f t="shared" si="59"/>
        <v>0.28993040933209802</v>
      </c>
      <c r="Q540" t="str">
        <f t="shared" si="60"/>
        <v>Weekday</v>
      </c>
      <c r="R540" t="str">
        <f t="shared" si="61"/>
        <v>Jan</v>
      </c>
      <c r="S540">
        <f t="shared" si="62"/>
        <v>2023</v>
      </c>
    </row>
    <row r="541" spans="1:19" x14ac:dyDescent="0.25">
      <c r="A541">
        <v>100539</v>
      </c>
      <c r="B541" s="1">
        <v>44970</v>
      </c>
      <c r="C541" t="s">
        <v>27</v>
      </c>
      <c r="D541" t="s">
        <v>218</v>
      </c>
      <c r="E541" t="s">
        <v>255</v>
      </c>
      <c r="F541">
        <v>3</v>
      </c>
      <c r="G541">
        <v>2896.81</v>
      </c>
      <c r="H541">
        <v>30</v>
      </c>
      <c r="I541" t="str">
        <f>IF(Sales[[#This Row],[Discount]]&lt;=10,"0-10%",IF(Sales[[#This Row],[Discount]]&lt;=20,"10-20%","20-30%"))</f>
        <v>20-30%</v>
      </c>
      <c r="J541">
        <v>1240.55</v>
      </c>
      <c r="K541" t="s">
        <v>262</v>
      </c>
      <c r="L541" t="s">
        <v>263</v>
      </c>
      <c r="M541">
        <f t="shared" si="56"/>
        <v>3721.6499999999996</v>
      </c>
      <c r="N541">
        <f t="shared" si="57"/>
        <v>6083.3009999999995</v>
      </c>
      <c r="O541">
        <f t="shared" si="58"/>
        <v>2361.6509999999998</v>
      </c>
      <c r="P541" s="2">
        <f t="shared" si="59"/>
        <v>0.38821866614852696</v>
      </c>
      <c r="Q541" t="str">
        <f t="shared" si="60"/>
        <v>Weekday</v>
      </c>
      <c r="R541" t="str">
        <f t="shared" si="61"/>
        <v>Feb</v>
      </c>
      <c r="S541">
        <f t="shared" si="62"/>
        <v>2023</v>
      </c>
    </row>
    <row r="542" spans="1:19" x14ac:dyDescent="0.25">
      <c r="A542">
        <v>100540</v>
      </c>
      <c r="B542" s="1">
        <v>45362</v>
      </c>
      <c r="C542" t="s">
        <v>48</v>
      </c>
      <c r="D542" t="s">
        <v>212</v>
      </c>
      <c r="E542" t="s">
        <v>256</v>
      </c>
      <c r="F542">
        <v>2</v>
      </c>
      <c r="G542">
        <v>2639.72</v>
      </c>
      <c r="H542">
        <v>0</v>
      </c>
      <c r="I542" t="str">
        <f>IF(Sales[[#This Row],[Discount]]&lt;=10,"0-10%",IF(Sales[[#This Row],[Discount]]&lt;=20,"10-20%","20-30%"))</f>
        <v>0-10%</v>
      </c>
      <c r="J542">
        <v>1139.4100000000001</v>
      </c>
      <c r="K542" t="s">
        <v>261</v>
      </c>
      <c r="L542" t="s">
        <v>263</v>
      </c>
      <c r="M542">
        <f t="shared" si="56"/>
        <v>2278.8200000000002</v>
      </c>
      <c r="N542">
        <f t="shared" si="57"/>
        <v>5279.44</v>
      </c>
      <c r="O542">
        <f t="shared" si="58"/>
        <v>3000.6199999999994</v>
      </c>
      <c r="P542" s="2">
        <f t="shared" si="59"/>
        <v>0.56835952297970993</v>
      </c>
      <c r="Q542" t="str">
        <f t="shared" si="60"/>
        <v>Weekday</v>
      </c>
      <c r="R542" t="str">
        <f t="shared" si="61"/>
        <v>Mar</v>
      </c>
      <c r="S542">
        <f t="shared" si="62"/>
        <v>2024</v>
      </c>
    </row>
    <row r="543" spans="1:19" x14ac:dyDescent="0.25">
      <c r="A543">
        <v>100541</v>
      </c>
      <c r="B543" s="1">
        <v>45635</v>
      </c>
      <c r="C543" t="s">
        <v>47</v>
      </c>
      <c r="D543" t="s">
        <v>68</v>
      </c>
      <c r="E543" t="s">
        <v>257</v>
      </c>
      <c r="F543">
        <v>1</v>
      </c>
      <c r="G543">
        <v>2167.69</v>
      </c>
      <c r="H543">
        <v>5</v>
      </c>
      <c r="I543" t="str">
        <f>IF(Sales[[#This Row],[Discount]]&lt;=10,"0-10%",IF(Sales[[#This Row],[Discount]]&lt;=20,"10-20%","20-30%"))</f>
        <v>0-10%</v>
      </c>
      <c r="J543">
        <v>927.82</v>
      </c>
      <c r="K543" t="s">
        <v>268</v>
      </c>
      <c r="L543" t="s">
        <v>267</v>
      </c>
      <c r="M543">
        <f t="shared" si="56"/>
        <v>927.82</v>
      </c>
      <c r="N543">
        <f t="shared" si="57"/>
        <v>2059.3054999999999</v>
      </c>
      <c r="O543">
        <f t="shared" si="58"/>
        <v>1131.4854999999998</v>
      </c>
      <c r="P543" s="2">
        <f t="shared" si="59"/>
        <v>0.54945004517299634</v>
      </c>
      <c r="Q543" t="str">
        <f t="shared" si="60"/>
        <v>Weekday</v>
      </c>
      <c r="R543" t="str">
        <f t="shared" si="61"/>
        <v>Dec</v>
      </c>
      <c r="S543">
        <f t="shared" si="62"/>
        <v>2024</v>
      </c>
    </row>
    <row r="544" spans="1:19" x14ac:dyDescent="0.25">
      <c r="A544">
        <v>100542</v>
      </c>
      <c r="B544" s="1">
        <v>45434</v>
      </c>
      <c r="C544" t="s">
        <v>38</v>
      </c>
      <c r="D544" t="s">
        <v>75</v>
      </c>
      <c r="E544" t="s">
        <v>256</v>
      </c>
      <c r="F544">
        <v>3</v>
      </c>
      <c r="G544">
        <v>1257.7</v>
      </c>
      <c r="H544">
        <v>0</v>
      </c>
      <c r="I544" t="str">
        <f>IF(Sales[[#This Row],[Discount]]&lt;=10,"0-10%",IF(Sales[[#This Row],[Discount]]&lt;=20,"10-20%","20-30%"))</f>
        <v>0-10%</v>
      </c>
      <c r="J544">
        <v>700.54</v>
      </c>
      <c r="K544" t="s">
        <v>262</v>
      </c>
      <c r="L544" t="s">
        <v>265</v>
      </c>
      <c r="M544">
        <f t="shared" si="56"/>
        <v>2101.62</v>
      </c>
      <c r="N544">
        <f t="shared" si="57"/>
        <v>3773.1000000000004</v>
      </c>
      <c r="O544">
        <f t="shared" si="58"/>
        <v>1671.4800000000005</v>
      </c>
      <c r="P544" s="2">
        <f t="shared" si="59"/>
        <v>0.44299912538761238</v>
      </c>
      <c r="Q544" t="str">
        <f t="shared" si="60"/>
        <v>Weekday</v>
      </c>
      <c r="R544" t="str">
        <f t="shared" si="61"/>
        <v>May</v>
      </c>
      <c r="S544">
        <f t="shared" si="62"/>
        <v>2024</v>
      </c>
    </row>
    <row r="545" spans="1:19" x14ac:dyDescent="0.25">
      <c r="A545">
        <v>100543</v>
      </c>
      <c r="B545" s="1">
        <v>45485</v>
      </c>
      <c r="C545" t="s">
        <v>56</v>
      </c>
      <c r="D545" t="s">
        <v>82</v>
      </c>
      <c r="E545" t="s">
        <v>260</v>
      </c>
      <c r="F545">
        <v>4</v>
      </c>
      <c r="G545">
        <v>1599.28</v>
      </c>
      <c r="H545">
        <v>0</v>
      </c>
      <c r="I545" t="str">
        <f>IF(Sales[[#This Row],[Discount]]&lt;=10,"0-10%",IF(Sales[[#This Row],[Discount]]&lt;=20,"10-20%","20-30%"))</f>
        <v>0-10%</v>
      </c>
      <c r="J545">
        <v>789.57</v>
      </c>
      <c r="K545" t="s">
        <v>268</v>
      </c>
      <c r="L545" t="s">
        <v>265</v>
      </c>
      <c r="M545">
        <f t="shared" si="56"/>
        <v>3158.28</v>
      </c>
      <c r="N545">
        <f t="shared" si="57"/>
        <v>6397.12</v>
      </c>
      <c r="O545">
        <f t="shared" si="58"/>
        <v>3238.8399999999997</v>
      </c>
      <c r="P545" s="2">
        <f t="shared" si="59"/>
        <v>0.50629658346255813</v>
      </c>
      <c r="Q545" t="str">
        <f t="shared" si="60"/>
        <v>Weekday</v>
      </c>
      <c r="R545" t="str">
        <f t="shared" si="61"/>
        <v>Jul</v>
      </c>
      <c r="S545">
        <f t="shared" si="62"/>
        <v>2024</v>
      </c>
    </row>
    <row r="546" spans="1:19" x14ac:dyDescent="0.25">
      <c r="A546">
        <v>100544</v>
      </c>
      <c r="B546" s="1">
        <v>45394</v>
      </c>
      <c r="C546" t="s">
        <v>31</v>
      </c>
      <c r="D546" t="s">
        <v>93</v>
      </c>
      <c r="E546" t="s">
        <v>259</v>
      </c>
      <c r="F546">
        <v>4</v>
      </c>
      <c r="G546">
        <v>4515.7</v>
      </c>
      <c r="H546">
        <v>15</v>
      </c>
      <c r="I546" t="str">
        <f>IF(Sales[[#This Row],[Discount]]&lt;=10,"0-10%",IF(Sales[[#This Row],[Discount]]&lt;=20,"10-20%","20-30%"))</f>
        <v>10-20%</v>
      </c>
      <c r="J546">
        <v>2510.9899999999998</v>
      </c>
      <c r="K546" t="s">
        <v>261</v>
      </c>
      <c r="L546" t="s">
        <v>267</v>
      </c>
      <c r="M546">
        <f t="shared" si="56"/>
        <v>10043.959999999999</v>
      </c>
      <c r="N546">
        <f t="shared" si="57"/>
        <v>15353.38</v>
      </c>
      <c r="O546">
        <f t="shared" si="58"/>
        <v>5309.42</v>
      </c>
      <c r="P546" s="2">
        <f t="shared" si="59"/>
        <v>0.34581440699051286</v>
      </c>
      <c r="Q546" t="str">
        <f t="shared" si="60"/>
        <v>Weekday</v>
      </c>
      <c r="R546" t="str">
        <f t="shared" si="61"/>
        <v>Apr</v>
      </c>
      <c r="S546">
        <f t="shared" si="62"/>
        <v>2024</v>
      </c>
    </row>
    <row r="547" spans="1:19" x14ac:dyDescent="0.25">
      <c r="A547">
        <v>100545</v>
      </c>
      <c r="B547" s="1">
        <v>45185</v>
      </c>
      <c r="C547" t="s">
        <v>27</v>
      </c>
      <c r="D547" t="s">
        <v>106</v>
      </c>
      <c r="E547" t="s">
        <v>256</v>
      </c>
      <c r="F547">
        <v>4</v>
      </c>
      <c r="G547">
        <v>1080.3599999999999</v>
      </c>
      <c r="H547">
        <v>15</v>
      </c>
      <c r="I547" t="str">
        <f>IF(Sales[[#This Row],[Discount]]&lt;=10,"0-10%",IF(Sales[[#This Row],[Discount]]&lt;=20,"10-20%","20-30%"))</f>
        <v>10-20%</v>
      </c>
      <c r="J547">
        <v>630.98</v>
      </c>
      <c r="K547" t="s">
        <v>262</v>
      </c>
      <c r="L547" t="s">
        <v>263</v>
      </c>
      <c r="M547">
        <f t="shared" si="56"/>
        <v>2523.92</v>
      </c>
      <c r="N547">
        <f t="shared" si="57"/>
        <v>3673.2239999999997</v>
      </c>
      <c r="O547">
        <f t="shared" si="58"/>
        <v>1149.3039999999996</v>
      </c>
      <c r="P547" s="2">
        <f t="shared" si="59"/>
        <v>0.31288698973980344</v>
      </c>
      <c r="Q547" t="str">
        <f t="shared" si="60"/>
        <v>Weekend</v>
      </c>
      <c r="R547" t="str">
        <f t="shared" si="61"/>
        <v>Sep</v>
      </c>
      <c r="S547">
        <f t="shared" si="62"/>
        <v>2023</v>
      </c>
    </row>
    <row r="548" spans="1:19" x14ac:dyDescent="0.25">
      <c r="A548">
        <v>100546</v>
      </c>
      <c r="B548" s="1">
        <v>45146</v>
      </c>
      <c r="C548" t="s">
        <v>16</v>
      </c>
      <c r="D548" t="s">
        <v>86</v>
      </c>
      <c r="E548" t="s">
        <v>257</v>
      </c>
      <c r="F548">
        <v>2</v>
      </c>
      <c r="G548">
        <v>1093.6099999999999</v>
      </c>
      <c r="H548">
        <v>20</v>
      </c>
      <c r="I548" t="str">
        <f>IF(Sales[[#This Row],[Discount]]&lt;=10,"0-10%",IF(Sales[[#This Row],[Discount]]&lt;=20,"10-20%","20-30%"))</f>
        <v>10-20%</v>
      </c>
      <c r="J548">
        <v>603.79999999999995</v>
      </c>
      <c r="K548" t="s">
        <v>268</v>
      </c>
      <c r="L548" t="s">
        <v>264</v>
      </c>
      <c r="M548">
        <f t="shared" si="56"/>
        <v>1207.5999999999999</v>
      </c>
      <c r="N548">
        <f t="shared" si="57"/>
        <v>1749.7759999999998</v>
      </c>
      <c r="O548">
        <f t="shared" si="58"/>
        <v>542.17599999999993</v>
      </c>
      <c r="P548" s="2">
        <f t="shared" si="59"/>
        <v>0.30985451852122786</v>
      </c>
      <c r="Q548" t="str">
        <f t="shared" si="60"/>
        <v>Weekday</v>
      </c>
      <c r="R548" t="str">
        <f t="shared" si="61"/>
        <v>Aug</v>
      </c>
      <c r="S548">
        <f t="shared" si="62"/>
        <v>2023</v>
      </c>
    </row>
    <row r="549" spans="1:19" x14ac:dyDescent="0.25">
      <c r="A549">
        <v>100547</v>
      </c>
      <c r="B549" s="1">
        <v>45614</v>
      </c>
      <c r="C549" t="s">
        <v>22</v>
      </c>
      <c r="D549" t="s">
        <v>245</v>
      </c>
      <c r="E549" t="s">
        <v>260</v>
      </c>
      <c r="F549">
        <v>3</v>
      </c>
      <c r="G549">
        <v>1165.8599999999999</v>
      </c>
      <c r="H549">
        <v>25</v>
      </c>
      <c r="I549" t="str">
        <f>IF(Sales[[#This Row],[Discount]]&lt;=10,"0-10%",IF(Sales[[#This Row],[Discount]]&lt;=20,"10-20%","20-30%"))</f>
        <v>20-30%</v>
      </c>
      <c r="J549">
        <v>779.02</v>
      </c>
      <c r="K549" t="s">
        <v>268</v>
      </c>
      <c r="L549" t="s">
        <v>266</v>
      </c>
      <c r="M549">
        <f t="shared" si="56"/>
        <v>2337.06</v>
      </c>
      <c r="N549">
        <f t="shared" si="57"/>
        <v>2623.1849999999999</v>
      </c>
      <c r="O549">
        <f t="shared" si="58"/>
        <v>286.125</v>
      </c>
      <c r="P549" s="2">
        <f t="shared" si="59"/>
        <v>0.10907541786034916</v>
      </c>
      <c r="Q549" t="str">
        <f t="shared" si="60"/>
        <v>Weekday</v>
      </c>
      <c r="R549" t="str">
        <f t="shared" si="61"/>
        <v>Nov</v>
      </c>
      <c r="S549">
        <f t="shared" si="62"/>
        <v>2024</v>
      </c>
    </row>
    <row r="550" spans="1:19" x14ac:dyDescent="0.25">
      <c r="A550">
        <v>100548</v>
      </c>
      <c r="B550" s="1">
        <v>45470</v>
      </c>
      <c r="C550" t="s">
        <v>58</v>
      </c>
      <c r="D550" t="s">
        <v>121</v>
      </c>
      <c r="E550" t="s">
        <v>256</v>
      </c>
      <c r="F550">
        <v>1</v>
      </c>
      <c r="G550">
        <v>2369.52</v>
      </c>
      <c r="H550">
        <v>15</v>
      </c>
      <c r="I550" t="str">
        <f>IF(Sales[[#This Row],[Discount]]&lt;=10,"0-10%",IF(Sales[[#This Row],[Discount]]&lt;=20,"10-20%","20-30%"))</f>
        <v>10-20%</v>
      </c>
      <c r="J550">
        <v>1385.2</v>
      </c>
      <c r="K550" t="s">
        <v>268</v>
      </c>
      <c r="L550" t="s">
        <v>264</v>
      </c>
      <c r="M550">
        <f t="shared" si="56"/>
        <v>1385.2</v>
      </c>
      <c r="N550">
        <f t="shared" si="57"/>
        <v>2014.0919999999999</v>
      </c>
      <c r="O550">
        <f t="shared" si="58"/>
        <v>628.89199999999983</v>
      </c>
      <c r="P550" s="2">
        <f t="shared" si="59"/>
        <v>0.31224591528093049</v>
      </c>
      <c r="Q550" t="str">
        <f t="shared" si="60"/>
        <v>Weekday</v>
      </c>
      <c r="R550" t="str">
        <f t="shared" si="61"/>
        <v>Jun</v>
      </c>
      <c r="S550">
        <f t="shared" si="62"/>
        <v>2024</v>
      </c>
    </row>
    <row r="551" spans="1:19" x14ac:dyDescent="0.25">
      <c r="A551">
        <v>100549</v>
      </c>
      <c r="B551" s="1">
        <v>45055</v>
      </c>
      <c r="C551" t="s">
        <v>54</v>
      </c>
      <c r="D551" t="s">
        <v>173</v>
      </c>
      <c r="E551" t="s">
        <v>258</v>
      </c>
      <c r="F551">
        <v>4</v>
      </c>
      <c r="G551">
        <v>3776.73</v>
      </c>
      <c r="H551">
        <v>15</v>
      </c>
      <c r="I551" t="str">
        <f>IF(Sales[[#This Row],[Discount]]&lt;=10,"0-10%",IF(Sales[[#This Row],[Discount]]&lt;=20,"10-20%","20-30%"))</f>
        <v>10-20%</v>
      </c>
      <c r="J551">
        <v>1872.88</v>
      </c>
      <c r="K551" t="s">
        <v>261</v>
      </c>
      <c r="L551" t="s">
        <v>265</v>
      </c>
      <c r="M551">
        <f t="shared" si="56"/>
        <v>7491.52</v>
      </c>
      <c r="N551">
        <f t="shared" si="57"/>
        <v>12840.882</v>
      </c>
      <c r="O551">
        <f t="shared" si="58"/>
        <v>5349.3619999999992</v>
      </c>
      <c r="P551" s="2">
        <f t="shared" si="59"/>
        <v>0.41658836207668598</v>
      </c>
      <c r="Q551" t="str">
        <f t="shared" si="60"/>
        <v>Weekday</v>
      </c>
      <c r="R551" t="str">
        <f t="shared" si="61"/>
        <v>May</v>
      </c>
      <c r="S551">
        <f t="shared" si="62"/>
        <v>2023</v>
      </c>
    </row>
    <row r="552" spans="1:19" x14ac:dyDescent="0.25">
      <c r="A552">
        <v>100550</v>
      </c>
      <c r="B552" s="1">
        <v>45195</v>
      </c>
      <c r="C552" t="s">
        <v>33</v>
      </c>
      <c r="D552" t="s">
        <v>130</v>
      </c>
      <c r="E552" t="s">
        <v>254</v>
      </c>
      <c r="F552">
        <v>1</v>
      </c>
      <c r="G552">
        <v>4925.32</v>
      </c>
      <c r="H552">
        <v>10</v>
      </c>
      <c r="I552" t="str">
        <f>IF(Sales[[#This Row],[Discount]]&lt;=10,"0-10%",IF(Sales[[#This Row],[Discount]]&lt;=20,"10-20%","20-30%"))</f>
        <v>0-10%</v>
      </c>
      <c r="J552">
        <v>2957.04</v>
      </c>
      <c r="K552" t="s">
        <v>261</v>
      </c>
      <c r="L552" t="s">
        <v>264</v>
      </c>
      <c r="M552">
        <f t="shared" si="56"/>
        <v>2957.04</v>
      </c>
      <c r="N552">
        <f t="shared" si="57"/>
        <v>4432.7879999999996</v>
      </c>
      <c r="O552">
        <f t="shared" si="58"/>
        <v>1475.7479999999996</v>
      </c>
      <c r="P552" s="2">
        <f t="shared" si="59"/>
        <v>0.33291643994704906</v>
      </c>
      <c r="Q552" t="str">
        <f t="shared" si="60"/>
        <v>Weekday</v>
      </c>
      <c r="R552" t="str">
        <f t="shared" si="61"/>
        <v>Sep</v>
      </c>
      <c r="S552">
        <f t="shared" si="62"/>
        <v>2023</v>
      </c>
    </row>
    <row r="553" spans="1:19" x14ac:dyDescent="0.25">
      <c r="A553">
        <v>100551</v>
      </c>
      <c r="B553" s="1">
        <v>45497</v>
      </c>
      <c r="C553" t="s">
        <v>41</v>
      </c>
      <c r="D553" t="s">
        <v>85</v>
      </c>
      <c r="E553" t="s">
        <v>258</v>
      </c>
      <c r="F553">
        <v>4</v>
      </c>
      <c r="G553">
        <v>4986.2700000000004</v>
      </c>
      <c r="H553">
        <v>0</v>
      </c>
      <c r="I553" t="str">
        <f>IF(Sales[[#This Row],[Discount]]&lt;=10,"0-10%",IF(Sales[[#This Row],[Discount]]&lt;=20,"10-20%","20-30%"))</f>
        <v>0-10%</v>
      </c>
      <c r="J553">
        <v>3460.15</v>
      </c>
      <c r="K553" t="s">
        <v>268</v>
      </c>
      <c r="L553" t="s">
        <v>267</v>
      </c>
      <c r="M553">
        <f t="shared" si="56"/>
        <v>13840.6</v>
      </c>
      <c r="N553">
        <f t="shared" si="57"/>
        <v>19945.080000000002</v>
      </c>
      <c r="O553">
        <f t="shared" si="58"/>
        <v>6104.4800000000014</v>
      </c>
      <c r="P553" s="2">
        <f t="shared" si="59"/>
        <v>0.30606445298790486</v>
      </c>
      <c r="Q553" t="str">
        <f t="shared" si="60"/>
        <v>Weekday</v>
      </c>
      <c r="R553" t="str">
        <f t="shared" si="61"/>
        <v>Jul</v>
      </c>
      <c r="S553">
        <f t="shared" si="62"/>
        <v>2024</v>
      </c>
    </row>
    <row r="554" spans="1:19" x14ac:dyDescent="0.25">
      <c r="A554">
        <v>100552</v>
      </c>
      <c r="B554" s="1">
        <v>45122</v>
      </c>
      <c r="C554" t="s">
        <v>26</v>
      </c>
      <c r="D554" t="s">
        <v>159</v>
      </c>
      <c r="E554" t="s">
        <v>255</v>
      </c>
      <c r="F554">
        <v>3</v>
      </c>
      <c r="G554">
        <v>3528.25</v>
      </c>
      <c r="H554">
        <v>25</v>
      </c>
      <c r="I554" t="str">
        <f>IF(Sales[[#This Row],[Discount]]&lt;=10,"0-10%",IF(Sales[[#This Row],[Discount]]&lt;=20,"10-20%","20-30%"))</f>
        <v>20-30%</v>
      </c>
      <c r="J554">
        <v>1509.77</v>
      </c>
      <c r="K554" t="s">
        <v>261</v>
      </c>
      <c r="L554" t="s">
        <v>263</v>
      </c>
      <c r="M554">
        <f t="shared" si="56"/>
        <v>4529.3099999999995</v>
      </c>
      <c r="N554">
        <f t="shared" si="57"/>
        <v>7938.5625</v>
      </c>
      <c r="O554">
        <f t="shared" si="58"/>
        <v>3409.2525000000005</v>
      </c>
      <c r="P554" s="2">
        <f t="shared" si="59"/>
        <v>0.42945463993008814</v>
      </c>
      <c r="Q554" t="str">
        <f t="shared" si="60"/>
        <v>Weekend</v>
      </c>
      <c r="R554" t="str">
        <f t="shared" si="61"/>
        <v>Jul</v>
      </c>
      <c r="S554">
        <f t="shared" si="62"/>
        <v>2023</v>
      </c>
    </row>
    <row r="555" spans="1:19" x14ac:dyDescent="0.25">
      <c r="A555">
        <v>100553</v>
      </c>
      <c r="B555" s="1">
        <v>45571</v>
      </c>
      <c r="C555" t="s">
        <v>21</v>
      </c>
      <c r="D555" t="s">
        <v>61</v>
      </c>
      <c r="E555" t="s">
        <v>256</v>
      </c>
      <c r="F555">
        <v>4</v>
      </c>
      <c r="G555">
        <v>4484.21</v>
      </c>
      <c r="H555">
        <v>20</v>
      </c>
      <c r="I555" t="str">
        <f>IF(Sales[[#This Row],[Discount]]&lt;=10,"0-10%",IF(Sales[[#This Row],[Discount]]&lt;=20,"10-20%","20-30%"))</f>
        <v>10-20%</v>
      </c>
      <c r="J555">
        <v>1900.51</v>
      </c>
      <c r="K555" t="s">
        <v>268</v>
      </c>
      <c r="L555" t="s">
        <v>267</v>
      </c>
      <c r="M555">
        <f t="shared" si="56"/>
        <v>7602.04</v>
      </c>
      <c r="N555">
        <f t="shared" si="57"/>
        <v>14349.472000000002</v>
      </c>
      <c r="O555">
        <f t="shared" si="58"/>
        <v>6747.4320000000016</v>
      </c>
      <c r="P555" s="2">
        <f t="shared" si="59"/>
        <v>0.47022162209173973</v>
      </c>
      <c r="Q555" t="str">
        <f t="shared" si="60"/>
        <v>Weekend</v>
      </c>
      <c r="R555" t="str">
        <f t="shared" si="61"/>
        <v>Oct</v>
      </c>
      <c r="S555">
        <f t="shared" si="62"/>
        <v>2024</v>
      </c>
    </row>
    <row r="556" spans="1:19" x14ac:dyDescent="0.25">
      <c r="A556">
        <v>100554</v>
      </c>
      <c r="B556" s="1">
        <v>45360</v>
      </c>
      <c r="C556" t="s">
        <v>16</v>
      </c>
      <c r="D556" t="s">
        <v>144</v>
      </c>
      <c r="E556" t="s">
        <v>258</v>
      </c>
      <c r="F556">
        <v>4</v>
      </c>
      <c r="G556">
        <v>4333.43</v>
      </c>
      <c r="H556">
        <v>15</v>
      </c>
      <c r="I556" t="str">
        <f>IF(Sales[[#This Row],[Discount]]&lt;=10,"0-10%",IF(Sales[[#This Row],[Discount]]&lt;=20,"10-20%","20-30%"))</f>
        <v>10-20%</v>
      </c>
      <c r="J556">
        <v>2798.18</v>
      </c>
      <c r="K556" t="s">
        <v>268</v>
      </c>
      <c r="L556" t="s">
        <v>263</v>
      </c>
      <c r="M556">
        <f t="shared" si="56"/>
        <v>11192.72</v>
      </c>
      <c r="N556">
        <f t="shared" si="57"/>
        <v>14733.662</v>
      </c>
      <c r="O556">
        <f t="shared" si="58"/>
        <v>3540.9420000000009</v>
      </c>
      <c r="P556" s="2">
        <f t="shared" si="59"/>
        <v>0.24033006865502962</v>
      </c>
      <c r="Q556" t="str">
        <f t="shared" si="60"/>
        <v>Weekend</v>
      </c>
      <c r="R556" t="str">
        <f t="shared" si="61"/>
        <v>Mar</v>
      </c>
      <c r="S556">
        <f t="shared" si="62"/>
        <v>2024</v>
      </c>
    </row>
    <row r="557" spans="1:19" x14ac:dyDescent="0.25">
      <c r="A557">
        <v>100555</v>
      </c>
      <c r="B557" s="1">
        <v>45376</v>
      </c>
      <c r="C557" t="s">
        <v>41</v>
      </c>
      <c r="D557" t="s">
        <v>78</v>
      </c>
      <c r="E557" t="s">
        <v>260</v>
      </c>
      <c r="F557">
        <v>3</v>
      </c>
      <c r="G557">
        <v>3870.04</v>
      </c>
      <c r="H557">
        <v>0</v>
      </c>
      <c r="I557" t="str">
        <f>IF(Sales[[#This Row],[Discount]]&lt;=10,"0-10%",IF(Sales[[#This Row],[Discount]]&lt;=20,"10-20%","20-30%"))</f>
        <v>0-10%</v>
      </c>
      <c r="J557">
        <v>2695.17</v>
      </c>
      <c r="K557" t="s">
        <v>261</v>
      </c>
      <c r="L557" t="s">
        <v>267</v>
      </c>
      <c r="M557">
        <f t="shared" si="56"/>
        <v>8085.51</v>
      </c>
      <c r="N557">
        <f t="shared" si="57"/>
        <v>11610.119999999999</v>
      </c>
      <c r="O557">
        <f t="shared" si="58"/>
        <v>3524.6099999999988</v>
      </c>
      <c r="P557" s="2">
        <f t="shared" si="59"/>
        <v>0.30358084154168941</v>
      </c>
      <c r="Q557" t="str">
        <f t="shared" si="60"/>
        <v>Weekday</v>
      </c>
      <c r="R557" t="str">
        <f t="shared" si="61"/>
        <v>Mar</v>
      </c>
      <c r="S557">
        <f t="shared" si="62"/>
        <v>2024</v>
      </c>
    </row>
    <row r="558" spans="1:19" x14ac:dyDescent="0.25">
      <c r="A558">
        <v>100556</v>
      </c>
      <c r="B558" s="1">
        <v>45152</v>
      </c>
      <c r="C558" t="s">
        <v>21</v>
      </c>
      <c r="D558" t="s">
        <v>215</v>
      </c>
      <c r="E558" t="s">
        <v>256</v>
      </c>
      <c r="F558">
        <v>4</v>
      </c>
      <c r="G558">
        <v>2458.5500000000002</v>
      </c>
      <c r="H558">
        <v>10</v>
      </c>
      <c r="I558" t="str">
        <f>IF(Sales[[#This Row],[Discount]]&lt;=10,"0-10%",IF(Sales[[#This Row],[Discount]]&lt;=20,"10-20%","20-30%"))</f>
        <v>0-10%</v>
      </c>
      <c r="J558">
        <v>1247.32</v>
      </c>
      <c r="K558" t="s">
        <v>261</v>
      </c>
      <c r="L558" t="s">
        <v>263</v>
      </c>
      <c r="M558">
        <f t="shared" si="56"/>
        <v>4989.28</v>
      </c>
      <c r="N558">
        <f t="shared" si="57"/>
        <v>8850.7800000000007</v>
      </c>
      <c r="O558">
        <f t="shared" si="58"/>
        <v>3861.5000000000009</v>
      </c>
      <c r="P558" s="2">
        <f t="shared" si="59"/>
        <v>0.43628923100562894</v>
      </c>
      <c r="Q558" t="str">
        <f t="shared" si="60"/>
        <v>Weekday</v>
      </c>
      <c r="R558" t="str">
        <f t="shared" si="61"/>
        <v>Aug</v>
      </c>
      <c r="S558">
        <f t="shared" si="62"/>
        <v>2023</v>
      </c>
    </row>
    <row r="559" spans="1:19" x14ac:dyDescent="0.25">
      <c r="A559">
        <v>100557</v>
      </c>
      <c r="B559" s="1">
        <v>45203</v>
      </c>
      <c r="C559" t="s">
        <v>49</v>
      </c>
      <c r="D559" t="s">
        <v>224</v>
      </c>
      <c r="E559" t="s">
        <v>259</v>
      </c>
      <c r="F559">
        <v>4</v>
      </c>
      <c r="G559">
        <v>1875.48</v>
      </c>
      <c r="H559">
        <v>25</v>
      </c>
      <c r="I559" t="str">
        <f>IF(Sales[[#This Row],[Discount]]&lt;=10,"0-10%",IF(Sales[[#This Row],[Discount]]&lt;=20,"10-20%","20-30%"))</f>
        <v>20-30%</v>
      </c>
      <c r="J559">
        <v>847.96</v>
      </c>
      <c r="K559" t="s">
        <v>261</v>
      </c>
      <c r="L559" t="s">
        <v>266</v>
      </c>
      <c r="M559">
        <f t="shared" si="56"/>
        <v>3391.84</v>
      </c>
      <c r="N559">
        <f t="shared" si="57"/>
        <v>5626.4400000000005</v>
      </c>
      <c r="O559">
        <f t="shared" si="58"/>
        <v>2234.6000000000004</v>
      </c>
      <c r="P559" s="2">
        <f t="shared" si="59"/>
        <v>0.39716054912164711</v>
      </c>
      <c r="Q559" t="str">
        <f t="shared" si="60"/>
        <v>Weekday</v>
      </c>
      <c r="R559" t="str">
        <f t="shared" si="61"/>
        <v>Oct</v>
      </c>
      <c r="S559">
        <f t="shared" si="62"/>
        <v>2023</v>
      </c>
    </row>
    <row r="560" spans="1:19" x14ac:dyDescent="0.25">
      <c r="A560">
        <v>100558</v>
      </c>
      <c r="B560" s="1">
        <v>45601</v>
      </c>
      <c r="C560" t="s">
        <v>27</v>
      </c>
      <c r="D560" t="s">
        <v>163</v>
      </c>
      <c r="E560" t="s">
        <v>254</v>
      </c>
      <c r="F560">
        <v>4</v>
      </c>
      <c r="G560">
        <v>709.74</v>
      </c>
      <c r="H560">
        <v>5</v>
      </c>
      <c r="I560" t="str">
        <f>IF(Sales[[#This Row],[Discount]]&lt;=10,"0-10%",IF(Sales[[#This Row],[Discount]]&lt;=20,"10-20%","20-30%"))</f>
        <v>0-10%</v>
      </c>
      <c r="J560">
        <v>437</v>
      </c>
      <c r="K560" t="s">
        <v>262</v>
      </c>
      <c r="L560" t="s">
        <v>265</v>
      </c>
      <c r="M560">
        <f t="shared" si="56"/>
        <v>1748</v>
      </c>
      <c r="N560">
        <f t="shared" si="57"/>
        <v>2697.0119999999997</v>
      </c>
      <c r="O560">
        <f t="shared" si="58"/>
        <v>949.01199999999972</v>
      </c>
      <c r="P560" s="2">
        <f t="shared" si="59"/>
        <v>0.35187533462958259</v>
      </c>
      <c r="Q560" t="str">
        <f t="shared" si="60"/>
        <v>Weekday</v>
      </c>
      <c r="R560" t="str">
        <f t="shared" si="61"/>
        <v>Nov</v>
      </c>
      <c r="S560">
        <f t="shared" si="62"/>
        <v>2024</v>
      </c>
    </row>
    <row r="561" spans="1:19" x14ac:dyDescent="0.25">
      <c r="A561">
        <v>100559</v>
      </c>
      <c r="B561" s="1">
        <v>45240</v>
      </c>
      <c r="C561" t="s">
        <v>21</v>
      </c>
      <c r="D561" t="s">
        <v>100</v>
      </c>
      <c r="E561" t="s">
        <v>254</v>
      </c>
      <c r="F561">
        <v>2</v>
      </c>
      <c r="G561">
        <v>1935.32</v>
      </c>
      <c r="H561">
        <v>20</v>
      </c>
      <c r="I561" t="str">
        <f>IF(Sales[[#This Row],[Discount]]&lt;=10,"0-10%",IF(Sales[[#This Row],[Discount]]&lt;=20,"10-20%","20-30%"))</f>
        <v>10-20%</v>
      </c>
      <c r="J561">
        <v>1035.5999999999999</v>
      </c>
      <c r="K561" t="s">
        <v>268</v>
      </c>
      <c r="L561" t="s">
        <v>264</v>
      </c>
      <c r="M561">
        <f t="shared" si="56"/>
        <v>2071.1999999999998</v>
      </c>
      <c r="N561">
        <f t="shared" si="57"/>
        <v>3096.5120000000002</v>
      </c>
      <c r="O561">
        <f t="shared" si="58"/>
        <v>1025.3120000000004</v>
      </c>
      <c r="P561" s="2">
        <f t="shared" si="59"/>
        <v>0.33111836802182593</v>
      </c>
      <c r="Q561" t="str">
        <f t="shared" si="60"/>
        <v>Weekday</v>
      </c>
      <c r="R561" t="str">
        <f t="shared" si="61"/>
        <v>Nov</v>
      </c>
      <c r="S561">
        <f t="shared" si="62"/>
        <v>2023</v>
      </c>
    </row>
    <row r="562" spans="1:19" x14ac:dyDescent="0.25">
      <c r="A562">
        <v>100560</v>
      </c>
      <c r="B562" s="1">
        <v>45199</v>
      </c>
      <c r="C562" t="s">
        <v>39</v>
      </c>
      <c r="D562" t="s">
        <v>124</v>
      </c>
      <c r="E562" t="s">
        <v>256</v>
      </c>
      <c r="F562">
        <v>1</v>
      </c>
      <c r="G562">
        <v>2346.88</v>
      </c>
      <c r="H562">
        <v>0</v>
      </c>
      <c r="I562" t="str">
        <f>IF(Sales[[#This Row],[Discount]]&lt;=10,"0-10%",IF(Sales[[#This Row],[Discount]]&lt;=20,"10-20%","20-30%"))</f>
        <v>0-10%</v>
      </c>
      <c r="J562">
        <v>1345.17</v>
      </c>
      <c r="K562" t="s">
        <v>268</v>
      </c>
      <c r="L562" t="s">
        <v>264</v>
      </c>
      <c r="M562">
        <f t="shared" si="56"/>
        <v>1345.17</v>
      </c>
      <c r="N562">
        <f t="shared" si="57"/>
        <v>2346.88</v>
      </c>
      <c r="O562">
        <f t="shared" si="58"/>
        <v>1001.71</v>
      </c>
      <c r="P562" s="2">
        <f t="shared" si="59"/>
        <v>0.42682625443141531</v>
      </c>
      <c r="Q562" t="str">
        <f t="shared" si="60"/>
        <v>Weekend</v>
      </c>
      <c r="R562" t="str">
        <f t="shared" si="61"/>
        <v>Sep</v>
      </c>
      <c r="S562">
        <f t="shared" si="62"/>
        <v>2023</v>
      </c>
    </row>
    <row r="563" spans="1:19" x14ac:dyDescent="0.25">
      <c r="A563">
        <v>100561</v>
      </c>
      <c r="B563" s="1">
        <v>45215</v>
      </c>
      <c r="C563" t="s">
        <v>53</v>
      </c>
      <c r="D563" t="s">
        <v>116</v>
      </c>
      <c r="E563" t="s">
        <v>256</v>
      </c>
      <c r="F563">
        <v>4</v>
      </c>
      <c r="G563">
        <v>2515.0500000000002</v>
      </c>
      <c r="H563">
        <v>15</v>
      </c>
      <c r="I563" t="str">
        <f>IF(Sales[[#This Row],[Discount]]&lt;=10,"0-10%",IF(Sales[[#This Row],[Discount]]&lt;=20,"10-20%","20-30%"))</f>
        <v>10-20%</v>
      </c>
      <c r="J563">
        <v>1744.77</v>
      </c>
      <c r="K563" t="s">
        <v>261</v>
      </c>
      <c r="L563" t="s">
        <v>266</v>
      </c>
      <c r="M563">
        <f t="shared" si="56"/>
        <v>6979.08</v>
      </c>
      <c r="N563">
        <f t="shared" si="57"/>
        <v>8551.17</v>
      </c>
      <c r="O563">
        <f t="shared" si="58"/>
        <v>1572.0900000000001</v>
      </c>
      <c r="P563" s="2">
        <f t="shared" si="59"/>
        <v>0.1838450176993324</v>
      </c>
      <c r="Q563" t="str">
        <f t="shared" si="60"/>
        <v>Weekday</v>
      </c>
      <c r="R563" t="str">
        <f t="shared" si="61"/>
        <v>Oct</v>
      </c>
      <c r="S563">
        <f t="shared" si="62"/>
        <v>2023</v>
      </c>
    </row>
    <row r="564" spans="1:19" x14ac:dyDescent="0.25">
      <c r="A564">
        <v>100562</v>
      </c>
      <c r="B564" s="1">
        <v>45174</v>
      </c>
      <c r="C564" t="s">
        <v>14</v>
      </c>
      <c r="D564" t="s">
        <v>224</v>
      </c>
      <c r="E564" t="s">
        <v>256</v>
      </c>
      <c r="F564">
        <v>4</v>
      </c>
      <c r="G564">
        <v>799.82</v>
      </c>
      <c r="H564">
        <v>0</v>
      </c>
      <c r="I564" t="str">
        <f>IF(Sales[[#This Row],[Discount]]&lt;=10,"0-10%",IF(Sales[[#This Row],[Discount]]&lt;=20,"10-20%","20-30%"))</f>
        <v>0-10%</v>
      </c>
      <c r="J564">
        <v>395.49</v>
      </c>
      <c r="K564" t="s">
        <v>268</v>
      </c>
      <c r="L564" t="s">
        <v>265</v>
      </c>
      <c r="M564">
        <f t="shared" si="56"/>
        <v>1581.96</v>
      </c>
      <c r="N564">
        <f t="shared" si="57"/>
        <v>3199.28</v>
      </c>
      <c r="O564">
        <f t="shared" si="58"/>
        <v>1617.3200000000002</v>
      </c>
      <c r="P564" s="2">
        <f t="shared" si="59"/>
        <v>0.50552624340476604</v>
      </c>
      <c r="Q564" t="str">
        <f t="shared" si="60"/>
        <v>Weekday</v>
      </c>
      <c r="R564" t="str">
        <f t="shared" si="61"/>
        <v>Sep</v>
      </c>
      <c r="S564">
        <f t="shared" si="62"/>
        <v>2023</v>
      </c>
    </row>
    <row r="565" spans="1:19" x14ac:dyDescent="0.25">
      <c r="A565">
        <v>100563</v>
      </c>
      <c r="B565" s="1">
        <v>45050</v>
      </c>
      <c r="C565" t="s">
        <v>38</v>
      </c>
      <c r="D565" t="s">
        <v>249</v>
      </c>
      <c r="E565" t="s">
        <v>254</v>
      </c>
      <c r="F565">
        <v>3</v>
      </c>
      <c r="G565">
        <v>1121.94</v>
      </c>
      <c r="H565">
        <v>0</v>
      </c>
      <c r="I565" t="str">
        <f>IF(Sales[[#This Row],[Discount]]&lt;=10,"0-10%",IF(Sales[[#This Row],[Discount]]&lt;=20,"10-20%","20-30%"))</f>
        <v>0-10%</v>
      </c>
      <c r="J565">
        <v>736.8</v>
      </c>
      <c r="K565" t="s">
        <v>268</v>
      </c>
      <c r="L565" t="s">
        <v>263</v>
      </c>
      <c r="M565">
        <f t="shared" si="56"/>
        <v>2210.3999999999996</v>
      </c>
      <c r="N565">
        <f t="shared" si="57"/>
        <v>3365.82</v>
      </c>
      <c r="O565">
        <f t="shared" si="58"/>
        <v>1155.4200000000005</v>
      </c>
      <c r="P565" s="2">
        <f t="shared" si="59"/>
        <v>0.34328038932563254</v>
      </c>
      <c r="Q565" t="str">
        <f t="shared" si="60"/>
        <v>Weekday</v>
      </c>
      <c r="R565" t="str">
        <f t="shared" si="61"/>
        <v>May</v>
      </c>
      <c r="S565">
        <f t="shared" si="62"/>
        <v>2023</v>
      </c>
    </row>
    <row r="566" spans="1:19" x14ac:dyDescent="0.25">
      <c r="A566">
        <v>100564</v>
      </c>
      <c r="B566" s="1">
        <v>45505</v>
      </c>
      <c r="C566" t="s">
        <v>38</v>
      </c>
      <c r="D566" t="s">
        <v>250</v>
      </c>
      <c r="E566" t="s">
        <v>260</v>
      </c>
      <c r="F566">
        <v>4</v>
      </c>
      <c r="G566">
        <v>641.54999999999995</v>
      </c>
      <c r="H566">
        <v>30</v>
      </c>
      <c r="I566" t="str">
        <f>IF(Sales[[#This Row],[Discount]]&lt;=10,"0-10%",IF(Sales[[#This Row],[Discount]]&lt;=20,"10-20%","20-30%"))</f>
        <v>20-30%</v>
      </c>
      <c r="J566">
        <v>271.45</v>
      </c>
      <c r="K566" t="s">
        <v>261</v>
      </c>
      <c r="L566" t="s">
        <v>266</v>
      </c>
      <c r="M566">
        <f t="shared" si="56"/>
        <v>1085.8</v>
      </c>
      <c r="N566">
        <f t="shared" si="57"/>
        <v>1796.3399999999997</v>
      </c>
      <c r="O566">
        <f t="shared" si="58"/>
        <v>710.53999999999974</v>
      </c>
      <c r="P566" s="2">
        <f t="shared" si="59"/>
        <v>0.39554872685571768</v>
      </c>
      <c r="Q566" t="str">
        <f t="shared" si="60"/>
        <v>Weekday</v>
      </c>
      <c r="R566" t="str">
        <f t="shared" si="61"/>
        <v>Aug</v>
      </c>
      <c r="S566">
        <f t="shared" si="62"/>
        <v>2024</v>
      </c>
    </row>
    <row r="567" spans="1:19" x14ac:dyDescent="0.25">
      <c r="A567">
        <v>100565</v>
      </c>
      <c r="B567" s="1">
        <v>45117</v>
      </c>
      <c r="C567" t="s">
        <v>43</v>
      </c>
      <c r="D567" t="s">
        <v>132</v>
      </c>
      <c r="E567" t="s">
        <v>260</v>
      </c>
      <c r="F567">
        <v>2</v>
      </c>
      <c r="G567">
        <v>2709.48</v>
      </c>
      <c r="H567">
        <v>30</v>
      </c>
      <c r="I567" t="str">
        <f>IF(Sales[[#This Row],[Discount]]&lt;=10,"0-10%",IF(Sales[[#This Row],[Discount]]&lt;=20,"10-20%","20-30%"))</f>
        <v>20-30%</v>
      </c>
      <c r="J567">
        <v>1331.96</v>
      </c>
      <c r="K567" t="s">
        <v>268</v>
      </c>
      <c r="L567" t="s">
        <v>266</v>
      </c>
      <c r="M567">
        <f t="shared" si="56"/>
        <v>2663.92</v>
      </c>
      <c r="N567">
        <f t="shared" si="57"/>
        <v>3793.2719999999999</v>
      </c>
      <c r="O567">
        <f t="shared" si="58"/>
        <v>1129.3519999999999</v>
      </c>
      <c r="P567" s="2">
        <f t="shared" si="59"/>
        <v>0.29772502472799206</v>
      </c>
      <c r="Q567" t="str">
        <f t="shared" si="60"/>
        <v>Weekday</v>
      </c>
      <c r="R567" t="str">
        <f t="shared" si="61"/>
        <v>Jul</v>
      </c>
      <c r="S567">
        <f t="shared" si="62"/>
        <v>2023</v>
      </c>
    </row>
    <row r="568" spans="1:19" x14ac:dyDescent="0.25">
      <c r="A568">
        <v>100566</v>
      </c>
      <c r="B568" s="1">
        <v>45580</v>
      </c>
      <c r="C568" t="s">
        <v>46</v>
      </c>
      <c r="D568" t="s">
        <v>179</v>
      </c>
      <c r="E568" t="s">
        <v>258</v>
      </c>
      <c r="F568">
        <v>3</v>
      </c>
      <c r="G568">
        <v>3886.83</v>
      </c>
      <c r="H568">
        <v>20</v>
      </c>
      <c r="I568" t="str">
        <f>IF(Sales[[#This Row],[Discount]]&lt;=10,"0-10%",IF(Sales[[#This Row],[Discount]]&lt;=20,"10-20%","20-30%"))</f>
        <v>10-20%</v>
      </c>
      <c r="J568">
        <v>2030.84</v>
      </c>
      <c r="K568" t="s">
        <v>268</v>
      </c>
      <c r="L568" t="s">
        <v>267</v>
      </c>
      <c r="M568">
        <f t="shared" si="56"/>
        <v>6092.5199999999995</v>
      </c>
      <c r="N568">
        <f t="shared" si="57"/>
        <v>9328.3919999999998</v>
      </c>
      <c r="O568">
        <f t="shared" si="58"/>
        <v>3235.8720000000003</v>
      </c>
      <c r="P568" s="2">
        <f t="shared" si="59"/>
        <v>0.34688422184659484</v>
      </c>
      <c r="Q568" t="str">
        <f t="shared" si="60"/>
        <v>Weekday</v>
      </c>
      <c r="R568" t="str">
        <f t="shared" si="61"/>
        <v>Oct</v>
      </c>
      <c r="S568">
        <f t="shared" si="62"/>
        <v>2024</v>
      </c>
    </row>
    <row r="569" spans="1:19" x14ac:dyDescent="0.25">
      <c r="A569">
        <v>100567</v>
      </c>
      <c r="B569" s="1">
        <v>45133</v>
      </c>
      <c r="C569" t="s">
        <v>24</v>
      </c>
      <c r="D569" t="s">
        <v>114</v>
      </c>
      <c r="E569" t="s">
        <v>257</v>
      </c>
      <c r="F569">
        <v>3</v>
      </c>
      <c r="G569">
        <v>4094.76</v>
      </c>
      <c r="H569">
        <v>0</v>
      </c>
      <c r="I569" t="str">
        <f>IF(Sales[[#This Row],[Discount]]&lt;=10,"0-10%",IF(Sales[[#This Row],[Discount]]&lt;=20,"10-20%","20-30%"))</f>
        <v>0-10%</v>
      </c>
      <c r="J569">
        <v>1710.5</v>
      </c>
      <c r="K569" t="s">
        <v>268</v>
      </c>
      <c r="L569" t="s">
        <v>267</v>
      </c>
      <c r="M569">
        <f t="shared" si="56"/>
        <v>5131.5</v>
      </c>
      <c r="N569">
        <f t="shared" si="57"/>
        <v>12284.28</v>
      </c>
      <c r="O569">
        <f t="shared" si="58"/>
        <v>7152.7800000000007</v>
      </c>
      <c r="P569" s="2">
        <f t="shared" si="59"/>
        <v>0.58227100000976861</v>
      </c>
      <c r="Q569" t="str">
        <f t="shared" si="60"/>
        <v>Weekday</v>
      </c>
      <c r="R569" t="str">
        <f t="shared" si="61"/>
        <v>Jul</v>
      </c>
      <c r="S569">
        <f t="shared" si="62"/>
        <v>2023</v>
      </c>
    </row>
    <row r="570" spans="1:19" x14ac:dyDescent="0.25">
      <c r="A570">
        <v>100568</v>
      </c>
      <c r="B570" s="1">
        <v>45369</v>
      </c>
      <c r="C570" t="s">
        <v>14</v>
      </c>
      <c r="D570" t="s">
        <v>243</v>
      </c>
      <c r="E570" t="s">
        <v>258</v>
      </c>
      <c r="F570">
        <v>1</v>
      </c>
      <c r="G570">
        <v>4408.87</v>
      </c>
      <c r="H570">
        <v>25</v>
      </c>
      <c r="I570" t="str">
        <f>IF(Sales[[#This Row],[Discount]]&lt;=10,"0-10%",IF(Sales[[#This Row],[Discount]]&lt;=20,"10-20%","20-30%"))</f>
        <v>20-30%</v>
      </c>
      <c r="J570">
        <v>1763.8</v>
      </c>
      <c r="K570" t="s">
        <v>261</v>
      </c>
      <c r="L570" t="s">
        <v>267</v>
      </c>
      <c r="M570">
        <f t="shared" si="56"/>
        <v>1763.8</v>
      </c>
      <c r="N570">
        <f t="shared" si="57"/>
        <v>3306.6525000000001</v>
      </c>
      <c r="O570">
        <f t="shared" si="58"/>
        <v>1542.8525000000002</v>
      </c>
      <c r="P570" s="2">
        <f t="shared" si="59"/>
        <v>0.46659045666274279</v>
      </c>
      <c r="Q570" t="str">
        <f t="shared" si="60"/>
        <v>Weekday</v>
      </c>
      <c r="R570" t="str">
        <f t="shared" si="61"/>
        <v>Mar</v>
      </c>
      <c r="S570">
        <f t="shared" si="62"/>
        <v>2024</v>
      </c>
    </row>
    <row r="571" spans="1:19" x14ac:dyDescent="0.25">
      <c r="A571">
        <v>100569</v>
      </c>
      <c r="B571" s="1">
        <v>45538</v>
      </c>
      <c r="C571" t="s">
        <v>22</v>
      </c>
      <c r="D571" t="s">
        <v>175</v>
      </c>
      <c r="E571" t="s">
        <v>257</v>
      </c>
      <c r="F571">
        <v>2</v>
      </c>
      <c r="G571">
        <v>2401.16</v>
      </c>
      <c r="H571">
        <v>0</v>
      </c>
      <c r="I571" t="str">
        <f>IF(Sales[[#This Row],[Discount]]&lt;=10,"0-10%",IF(Sales[[#This Row],[Discount]]&lt;=20,"10-20%","20-30%"))</f>
        <v>0-10%</v>
      </c>
      <c r="J571">
        <v>1292.08</v>
      </c>
      <c r="K571" t="s">
        <v>262</v>
      </c>
      <c r="L571" t="s">
        <v>263</v>
      </c>
      <c r="M571">
        <f t="shared" si="56"/>
        <v>2584.16</v>
      </c>
      <c r="N571">
        <f t="shared" si="57"/>
        <v>4802.32</v>
      </c>
      <c r="O571">
        <f t="shared" si="58"/>
        <v>2218.16</v>
      </c>
      <c r="P571" s="2">
        <f t="shared" si="59"/>
        <v>0.46189341818121243</v>
      </c>
      <c r="Q571" t="str">
        <f t="shared" si="60"/>
        <v>Weekday</v>
      </c>
      <c r="R571" t="str">
        <f t="shared" si="61"/>
        <v>Sep</v>
      </c>
      <c r="S571">
        <f t="shared" si="62"/>
        <v>2024</v>
      </c>
    </row>
    <row r="572" spans="1:19" x14ac:dyDescent="0.25">
      <c r="A572">
        <v>100570</v>
      </c>
      <c r="B572" s="1">
        <v>45433</v>
      </c>
      <c r="C572" t="s">
        <v>46</v>
      </c>
      <c r="D572" t="s">
        <v>127</v>
      </c>
      <c r="E572" t="s">
        <v>260</v>
      </c>
      <c r="F572">
        <v>2</v>
      </c>
      <c r="G572">
        <v>2087.88</v>
      </c>
      <c r="H572">
        <v>0</v>
      </c>
      <c r="I572" t="str">
        <f>IF(Sales[[#This Row],[Discount]]&lt;=10,"0-10%",IF(Sales[[#This Row],[Discount]]&lt;=20,"10-20%","20-30%"))</f>
        <v>0-10%</v>
      </c>
      <c r="J572">
        <v>1446.98</v>
      </c>
      <c r="K572" t="s">
        <v>268</v>
      </c>
      <c r="L572" t="s">
        <v>264</v>
      </c>
      <c r="M572">
        <f t="shared" si="56"/>
        <v>2893.96</v>
      </c>
      <c r="N572">
        <f t="shared" si="57"/>
        <v>4175.76</v>
      </c>
      <c r="O572">
        <f t="shared" si="58"/>
        <v>1281.8000000000002</v>
      </c>
      <c r="P572" s="2">
        <f t="shared" si="59"/>
        <v>0.30696208594363661</v>
      </c>
      <c r="Q572" t="str">
        <f t="shared" si="60"/>
        <v>Weekday</v>
      </c>
      <c r="R572" t="str">
        <f t="shared" si="61"/>
        <v>May</v>
      </c>
      <c r="S572">
        <f t="shared" si="62"/>
        <v>2024</v>
      </c>
    </row>
    <row r="573" spans="1:19" x14ac:dyDescent="0.25">
      <c r="A573">
        <v>100571</v>
      </c>
      <c r="B573" s="1">
        <v>45080</v>
      </c>
      <c r="C573" t="s">
        <v>59</v>
      </c>
      <c r="D573" t="s">
        <v>152</v>
      </c>
      <c r="E573" t="s">
        <v>256</v>
      </c>
      <c r="F573">
        <v>1</v>
      </c>
      <c r="G573">
        <v>497.52</v>
      </c>
      <c r="H573">
        <v>30</v>
      </c>
      <c r="I573" t="str">
        <f>IF(Sales[[#This Row],[Discount]]&lt;=10,"0-10%",IF(Sales[[#This Row],[Discount]]&lt;=20,"10-20%","20-30%"))</f>
        <v>20-30%</v>
      </c>
      <c r="J573">
        <v>309.44</v>
      </c>
      <c r="K573" t="s">
        <v>262</v>
      </c>
      <c r="L573" t="s">
        <v>266</v>
      </c>
      <c r="M573">
        <f t="shared" si="56"/>
        <v>309.44</v>
      </c>
      <c r="N573">
        <f t="shared" si="57"/>
        <v>348.26399999999995</v>
      </c>
      <c r="O573">
        <f t="shared" si="58"/>
        <v>38.823999999999955</v>
      </c>
      <c r="P573" s="2">
        <f t="shared" si="59"/>
        <v>0.11147864838168735</v>
      </c>
      <c r="Q573" t="str">
        <f t="shared" si="60"/>
        <v>Weekend</v>
      </c>
      <c r="R573" t="str">
        <f t="shared" si="61"/>
        <v>Jun</v>
      </c>
      <c r="S573">
        <f t="shared" si="62"/>
        <v>2023</v>
      </c>
    </row>
    <row r="574" spans="1:19" x14ac:dyDescent="0.25">
      <c r="A574">
        <v>100572</v>
      </c>
      <c r="B574" s="1">
        <v>45548</v>
      </c>
      <c r="C574" t="s">
        <v>21</v>
      </c>
      <c r="D574" t="s">
        <v>190</v>
      </c>
      <c r="E574" t="s">
        <v>260</v>
      </c>
      <c r="F574">
        <v>3</v>
      </c>
      <c r="G574">
        <v>899.03</v>
      </c>
      <c r="H574">
        <v>15</v>
      </c>
      <c r="I574" t="str">
        <f>IF(Sales[[#This Row],[Discount]]&lt;=10,"0-10%",IF(Sales[[#This Row],[Discount]]&lt;=20,"10-20%","20-30%"))</f>
        <v>10-20%</v>
      </c>
      <c r="J574">
        <v>550.48</v>
      </c>
      <c r="K574" t="s">
        <v>262</v>
      </c>
      <c r="L574" t="s">
        <v>267</v>
      </c>
      <c r="M574">
        <f t="shared" si="56"/>
        <v>1651.44</v>
      </c>
      <c r="N574">
        <f t="shared" si="57"/>
        <v>2292.5264999999999</v>
      </c>
      <c r="O574">
        <f t="shared" si="58"/>
        <v>641.08649999999989</v>
      </c>
      <c r="P574" s="2">
        <f t="shared" si="59"/>
        <v>0.27964191471723443</v>
      </c>
      <c r="Q574" t="str">
        <f t="shared" si="60"/>
        <v>Weekday</v>
      </c>
      <c r="R574" t="str">
        <f t="shared" si="61"/>
        <v>Sep</v>
      </c>
      <c r="S574">
        <f t="shared" si="62"/>
        <v>2024</v>
      </c>
    </row>
    <row r="575" spans="1:19" x14ac:dyDescent="0.25">
      <c r="A575">
        <v>100573</v>
      </c>
      <c r="B575" s="1">
        <v>45099</v>
      </c>
      <c r="C575" t="s">
        <v>46</v>
      </c>
      <c r="D575" t="s">
        <v>236</v>
      </c>
      <c r="E575" t="s">
        <v>257</v>
      </c>
      <c r="F575">
        <v>3</v>
      </c>
      <c r="G575">
        <v>3843.62</v>
      </c>
      <c r="H575">
        <v>25</v>
      </c>
      <c r="I575" t="str">
        <f>IF(Sales[[#This Row],[Discount]]&lt;=10,"0-10%",IF(Sales[[#This Row],[Discount]]&lt;=20,"10-20%","20-30%"))</f>
        <v>20-30%</v>
      </c>
      <c r="J575">
        <v>2465.5700000000002</v>
      </c>
      <c r="K575" t="s">
        <v>261</v>
      </c>
      <c r="L575" t="s">
        <v>267</v>
      </c>
      <c r="M575">
        <f t="shared" si="56"/>
        <v>7396.7100000000009</v>
      </c>
      <c r="N575">
        <f t="shared" si="57"/>
        <v>8648.1450000000004</v>
      </c>
      <c r="O575">
        <f t="shared" si="58"/>
        <v>1251.4349999999995</v>
      </c>
      <c r="P575" s="2">
        <f t="shared" si="59"/>
        <v>0.14470559871510011</v>
      </c>
      <c r="Q575" t="str">
        <f t="shared" si="60"/>
        <v>Weekday</v>
      </c>
      <c r="R575" t="str">
        <f t="shared" si="61"/>
        <v>Jun</v>
      </c>
      <c r="S575">
        <f t="shared" si="62"/>
        <v>2023</v>
      </c>
    </row>
    <row r="576" spans="1:19" x14ac:dyDescent="0.25">
      <c r="A576">
        <v>100574</v>
      </c>
      <c r="B576" s="1">
        <v>45301</v>
      </c>
      <c r="C576" t="s">
        <v>25</v>
      </c>
      <c r="D576" t="s">
        <v>229</v>
      </c>
      <c r="E576" t="s">
        <v>254</v>
      </c>
      <c r="F576">
        <v>2</v>
      </c>
      <c r="G576">
        <v>3715.35</v>
      </c>
      <c r="H576">
        <v>0</v>
      </c>
      <c r="I576" t="str">
        <f>IF(Sales[[#This Row],[Discount]]&lt;=10,"0-10%",IF(Sales[[#This Row],[Discount]]&lt;=20,"10-20%","20-30%"))</f>
        <v>0-10%</v>
      </c>
      <c r="J576">
        <v>1825.82</v>
      </c>
      <c r="K576" t="s">
        <v>261</v>
      </c>
      <c r="L576" t="s">
        <v>263</v>
      </c>
      <c r="M576">
        <f t="shared" si="56"/>
        <v>3651.64</v>
      </c>
      <c r="N576">
        <f t="shared" si="57"/>
        <v>7430.7</v>
      </c>
      <c r="O576">
        <f t="shared" si="58"/>
        <v>3779.06</v>
      </c>
      <c r="P576" s="2">
        <f t="shared" si="59"/>
        <v>0.50857388940476667</v>
      </c>
      <c r="Q576" t="str">
        <f t="shared" si="60"/>
        <v>Weekday</v>
      </c>
      <c r="R576" t="str">
        <f t="shared" si="61"/>
        <v>Jan</v>
      </c>
      <c r="S576">
        <f t="shared" si="62"/>
        <v>2024</v>
      </c>
    </row>
    <row r="577" spans="1:19" x14ac:dyDescent="0.25">
      <c r="A577">
        <v>100575</v>
      </c>
      <c r="B577" s="1">
        <v>45046</v>
      </c>
      <c r="C577" t="s">
        <v>50</v>
      </c>
      <c r="D577" t="s">
        <v>178</v>
      </c>
      <c r="E577" t="s">
        <v>260</v>
      </c>
      <c r="F577">
        <v>4</v>
      </c>
      <c r="G577">
        <v>3284.92</v>
      </c>
      <c r="H577">
        <v>10</v>
      </c>
      <c r="I577" t="str">
        <f>IF(Sales[[#This Row],[Discount]]&lt;=10,"0-10%",IF(Sales[[#This Row],[Discount]]&lt;=20,"10-20%","20-30%"))</f>
        <v>0-10%</v>
      </c>
      <c r="J577">
        <v>1757.28</v>
      </c>
      <c r="K577" t="s">
        <v>261</v>
      </c>
      <c r="L577" t="s">
        <v>263</v>
      </c>
      <c r="M577">
        <f t="shared" si="56"/>
        <v>7029.12</v>
      </c>
      <c r="N577">
        <f t="shared" si="57"/>
        <v>11825.712000000001</v>
      </c>
      <c r="O577">
        <f t="shared" si="58"/>
        <v>4796.5920000000015</v>
      </c>
      <c r="P577" s="2">
        <f t="shared" si="59"/>
        <v>0.40560703659957226</v>
      </c>
      <c r="Q577" t="str">
        <f t="shared" si="60"/>
        <v>Weekend</v>
      </c>
      <c r="R577" t="str">
        <f t="shared" si="61"/>
        <v>Apr</v>
      </c>
      <c r="S577">
        <f t="shared" si="62"/>
        <v>2023</v>
      </c>
    </row>
    <row r="578" spans="1:19" x14ac:dyDescent="0.25">
      <c r="A578">
        <v>100576</v>
      </c>
      <c r="B578" s="1">
        <v>45212</v>
      </c>
      <c r="C578" t="s">
        <v>40</v>
      </c>
      <c r="D578" t="s">
        <v>99</v>
      </c>
      <c r="E578" t="s">
        <v>259</v>
      </c>
      <c r="F578">
        <v>1</v>
      </c>
      <c r="G578">
        <v>2841.28</v>
      </c>
      <c r="H578">
        <v>0</v>
      </c>
      <c r="I578" t="str">
        <f>IF(Sales[[#This Row],[Discount]]&lt;=10,"0-10%",IF(Sales[[#This Row],[Discount]]&lt;=20,"10-20%","20-30%"))</f>
        <v>0-10%</v>
      </c>
      <c r="J578">
        <v>1218.8</v>
      </c>
      <c r="K578" t="s">
        <v>262</v>
      </c>
      <c r="L578" t="s">
        <v>265</v>
      </c>
      <c r="M578">
        <f t="shared" si="56"/>
        <v>1218.8</v>
      </c>
      <c r="N578">
        <f t="shared" si="57"/>
        <v>2841.28</v>
      </c>
      <c r="O578">
        <f t="shared" si="58"/>
        <v>1622.4800000000002</v>
      </c>
      <c r="P578" s="2">
        <f t="shared" si="59"/>
        <v>0.57103840522581373</v>
      </c>
      <c r="Q578" t="str">
        <f t="shared" si="60"/>
        <v>Weekday</v>
      </c>
      <c r="R578" t="str">
        <f t="shared" si="61"/>
        <v>Oct</v>
      </c>
      <c r="S578">
        <f t="shared" si="62"/>
        <v>2023</v>
      </c>
    </row>
    <row r="579" spans="1:19" x14ac:dyDescent="0.25">
      <c r="A579">
        <v>100577</v>
      </c>
      <c r="B579" s="1">
        <v>45580</v>
      </c>
      <c r="C579" t="s">
        <v>54</v>
      </c>
      <c r="D579" t="s">
        <v>63</v>
      </c>
      <c r="E579" t="s">
        <v>256</v>
      </c>
      <c r="F579">
        <v>4</v>
      </c>
      <c r="G579">
        <v>2965.7</v>
      </c>
      <c r="H579">
        <v>0</v>
      </c>
      <c r="I579" t="str">
        <f>IF(Sales[[#This Row],[Discount]]&lt;=10,"0-10%",IF(Sales[[#This Row],[Discount]]&lt;=20,"10-20%","20-30%"))</f>
        <v>0-10%</v>
      </c>
      <c r="J579">
        <v>1438.81</v>
      </c>
      <c r="K579" t="s">
        <v>268</v>
      </c>
      <c r="L579" t="s">
        <v>263</v>
      </c>
      <c r="M579">
        <f t="shared" ref="M579:M642" si="63">F579*J579</f>
        <v>5755.24</v>
      </c>
      <c r="N579">
        <f t="shared" ref="N579:N642" si="64">F579*G579*(1-H579/100)</f>
        <v>11862.8</v>
      </c>
      <c r="O579">
        <f t="shared" ref="O579:O642" si="65">N579-M579</f>
        <v>6107.5599999999995</v>
      </c>
      <c r="P579" s="2">
        <f t="shared" ref="P579:P642" si="66">O579/N579</f>
        <v>0.51484978251340319</v>
      </c>
      <c r="Q579" t="str">
        <f t="shared" ref="Q579:Q642" si="67">IF(WEEKDAY(B579,2)&gt;5,"Weekend","Weekday")</f>
        <v>Weekday</v>
      </c>
      <c r="R579" t="str">
        <f t="shared" ref="R579:R642" si="68">TEXT(B579,"mmm")</f>
        <v>Oct</v>
      </c>
      <c r="S579">
        <f t="shared" ref="S579:S642" si="69">YEAR(B579)</f>
        <v>2024</v>
      </c>
    </row>
    <row r="580" spans="1:19" x14ac:dyDescent="0.25">
      <c r="A580">
        <v>100578</v>
      </c>
      <c r="B580" s="1">
        <v>44967</v>
      </c>
      <c r="C580" t="s">
        <v>51</v>
      </c>
      <c r="D580" t="s">
        <v>119</v>
      </c>
      <c r="E580" t="s">
        <v>256</v>
      </c>
      <c r="F580">
        <v>3</v>
      </c>
      <c r="G580">
        <v>1363.85</v>
      </c>
      <c r="H580">
        <v>5</v>
      </c>
      <c r="I580" t="str">
        <f>IF(Sales[[#This Row],[Discount]]&lt;=10,"0-10%",IF(Sales[[#This Row],[Discount]]&lt;=20,"10-20%","20-30%"))</f>
        <v>0-10%</v>
      </c>
      <c r="J580">
        <v>844.32</v>
      </c>
      <c r="K580" t="s">
        <v>262</v>
      </c>
      <c r="L580" t="s">
        <v>263</v>
      </c>
      <c r="M580">
        <f t="shared" si="63"/>
        <v>2532.96</v>
      </c>
      <c r="N580">
        <f t="shared" si="64"/>
        <v>3886.9724999999994</v>
      </c>
      <c r="O580">
        <f t="shared" si="65"/>
        <v>1354.0124999999994</v>
      </c>
      <c r="P580" s="2">
        <f t="shared" si="66"/>
        <v>0.34834630293885527</v>
      </c>
      <c r="Q580" t="str">
        <f t="shared" si="67"/>
        <v>Weekday</v>
      </c>
      <c r="R580" t="str">
        <f t="shared" si="68"/>
        <v>Feb</v>
      </c>
      <c r="S580">
        <f t="shared" si="69"/>
        <v>2023</v>
      </c>
    </row>
    <row r="581" spans="1:19" x14ac:dyDescent="0.25">
      <c r="A581">
        <v>100579</v>
      </c>
      <c r="B581" s="1">
        <v>45563</v>
      </c>
      <c r="C581" t="s">
        <v>32</v>
      </c>
      <c r="D581" t="s">
        <v>193</v>
      </c>
      <c r="E581" t="s">
        <v>259</v>
      </c>
      <c r="F581">
        <v>3</v>
      </c>
      <c r="G581">
        <v>4543.6099999999997</v>
      </c>
      <c r="H581">
        <v>0</v>
      </c>
      <c r="I581" t="str">
        <f>IF(Sales[[#This Row],[Discount]]&lt;=10,"0-10%",IF(Sales[[#This Row],[Discount]]&lt;=20,"10-20%","20-30%"))</f>
        <v>0-10%</v>
      </c>
      <c r="J581">
        <v>2979.15</v>
      </c>
      <c r="K581" t="s">
        <v>268</v>
      </c>
      <c r="L581" t="s">
        <v>264</v>
      </c>
      <c r="M581">
        <f t="shared" si="63"/>
        <v>8937.4500000000007</v>
      </c>
      <c r="N581">
        <f t="shared" si="64"/>
        <v>13630.829999999998</v>
      </c>
      <c r="O581">
        <f t="shared" si="65"/>
        <v>4693.3799999999974</v>
      </c>
      <c r="P581" s="2">
        <f t="shared" si="66"/>
        <v>0.34432092543153997</v>
      </c>
      <c r="Q581" t="str">
        <f t="shared" si="67"/>
        <v>Weekend</v>
      </c>
      <c r="R581" t="str">
        <f t="shared" si="68"/>
        <v>Sep</v>
      </c>
      <c r="S581">
        <f t="shared" si="69"/>
        <v>2024</v>
      </c>
    </row>
    <row r="582" spans="1:19" x14ac:dyDescent="0.25">
      <c r="A582">
        <v>100580</v>
      </c>
      <c r="B582" s="1">
        <v>45621</v>
      </c>
      <c r="C582" t="s">
        <v>23</v>
      </c>
      <c r="D582" t="s">
        <v>126</v>
      </c>
      <c r="E582" t="s">
        <v>255</v>
      </c>
      <c r="F582">
        <v>2</v>
      </c>
      <c r="G582">
        <v>4493.82</v>
      </c>
      <c r="H582">
        <v>0</v>
      </c>
      <c r="I582" t="str">
        <f>IF(Sales[[#This Row],[Discount]]&lt;=10,"0-10%",IF(Sales[[#This Row],[Discount]]&lt;=20,"10-20%","20-30%"))</f>
        <v>0-10%</v>
      </c>
      <c r="J582">
        <v>2047.38</v>
      </c>
      <c r="K582" t="s">
        <v>262</v>
      </c>
      <c r="L582" t="s">
        <v>265</v>
      </c>
      <c r="M582">
        <f t="shared" si="63"/>
        <v>4094.76</v>
      </c>
      <c r="N582">
        <f t="shared" si="64"/>
        <v>8987.64</v>
      </c>
      <c r="O582">
        <f t="shared" si="65"/>
        <v>4892.8799999999992</v>
      </c>
      <c r="P582" s="2">
        <f t="shared" si="66"/>
        <v>0.5444009773422166</v>
      </c>
      <c r="Q582" t="str">
        <f t="shared" si="67"/>
        <v>Weekday</v>
      </c>
      <c r="R582" t="str">
        <f t="shared" si="68"/>
        <v>Nov</v>
      </c>
      <c r="S582">
        <f t="shared" si="69"/>
        <v>2024</v>
      </c>
    </row>
    <row r="583" spans="1:19" x14ac:dyDescent="0.25">
      <c r="A583">
        <v>100581</v>
      </c>
      <c r="B583" s="1">
        <v>45194</v>
      </c>
      <c r="C583" t="s">
        <v>55</v>
      </c>
      <c r="D583" t="s">
        <v>174</v>
      </c>
      <c r="E583" t="s">
        <v>259</v>
      </c>
      <c r="F583">
        <v>1</v>
      </c>
      <c r="G583">
        <v>4239.32</v>
      </c>
      <c r="H583">
        <v>30</v>
      </c>
      <c r="I583" t="str">
        <f>IF(Sales[[#This Row],[Discount]]&lt;=10,"0-10%",IF(Sales[[#This Row],[Discount]]&lt;=20,"10-20%","20-30%"))</f>
        <v>20-30%</v>
      </c>
      <c r="J583">
        <v>2058.56</v>
      </c>
      <c r="K583" t="s">
        <v>268</v>
      </c>
      <c r="L583" t="s">
        <v>266</v>
      </c>
      <c r="M583">
        <f t="shared" si="63"/>
        <v>2058.56</v>
      </c>
      <c r="N583">
        <f t="shared" si="64"/>
        <v>2967.5239999999994</v>
      </c>
      <c r="O583">
        <f t="shared" si="65"/>
        <v>908.96399999999949</v>
      </c>
      <c r="P583" s="2">
        <f t="shared" si="66"/>
        <v>0.30630384118207626</v>
      </c>
      <c r="Q583" t="str">
        <f t="shared" si="67"/>
        <v>Weekday</v>
      </c>
      <c r="R583" t="str">
        <f t="shared" si="68"/>
        <v>Sep</v>
      </c>
      <c r="S583">
        <f t="shared" si="69"/>
        <v>2023</v>
      </c>
    </row>
    <row r="584" spans="1:19" x14ac:dyDescent="0.25">
      <c r="A584">
        <v>100582</v>
      </c>
      <c r="B584" s="1">
        <v>45587</v>
      </c>
      <c r="C584" t="s">
        <v>11</v>
      </c>
      <c r="D584" t="s">
        <v>124</v>
      </c>
      <c r="E584" t="s">
        <v>260</v>
      </c>
      <c r="F584">
        <v>3</v>
      </c>
      <c r="G584">
        <v>4978.5600000000004</v>
      </c>
      <c r="H584">
        <v>20</v>
      </c>
      <c r="I584" t="str">
        <f>IF(Sales[[#This Row],[Discount]]&lt;=10,"0-10%",IF(Sales[[#This Row],[Discount]]&lt;=20,"10-20%","20-30%"))</f>
        <v>10-20%</v>
      </c>
      <c r="J584">
        <v>3269.46</v>
      </c>
      <c r="K584" t="s">
        <v>268</v>
      </c>
      <c r="L584" t="s">
        <v>267</v>
      </c>
      <c r="M584">
        <f t="shared" si="63"/>
        <v>9808.380000000001</v>
      </c>
      <c r="N584">
        <f t="shared" si="64"/>
        <v>11948.544000000002</v>
      </c>
      <c r="O584">
        <f t="shared" si="65"/>
        <v>2140.1640000000007</v>
      </c>
      <c r="P584" s="2">
        <f t="shared" si="66"/>
        <v>0.17911504531430777</v>
      </c>
      <c r="Q584" t="str">
        <f t="shared" si="67"/>
        <v>Weekday</v>
      </c>
      <c r="R584" t="str">
        <f t="shared" si="68"/>
        <v>Oct</v>
      </c>
      <c r="S584">
        <f t="shared" si="69"/>
        <v>2024</v>
      </c>
    </row>
    <row r="585" spans="1:19" x14ac:dyDescent="0.25">
      <c r="A585">
        <v>100583</v>
      </c>
      <c r="B585" s="1">
        <v>45127</v>
      </c>
      <c r="C585" t="s">
        <v>24</v>
      </c>
      <c r="D585" t="s">
        <v>61</v>
      </c>
      <c r="E585" t="s">
        <v>259</v>
      </c>
      <c r="F585">
        <v>4</v>
      </c>
      <c r="G585">
        <v>4207.46</v>
      </c>
      <c r="H585">
        <v>10</v>
      </c>
      <c r="I585" t="str">
        <f>IF(Sales[[#This Row],[Discount]]&lt;=10,"0-10%",IF(Sales[[#This Row],[Discount]]&lt;=20,"10-20%","20-30%"))</f>
        <v>0-10%</v>
      </c>
      <c r="J585">
        <v>2439.04</v>
      </c>
      <c r="K585" t="s">
        <v>268</v>
      </c>
      <c r="L585" t="s">
        <v>263</v>
      </c>
      <c r="M585">
        <f t="shared" si="63"/>
        <v>9756.16</v>
      </c>
      <c r="N585">
        <f t="shared" si="64"/>
        <v>15146.856</v>
      </c>
      <c r="O585">
        <f t="shared" si="65"/>
        <v>5390.6959999999999</v>
      </c>
      <c r="P585" s="2">
        <f t="shared" si="66"/>
        <v>0.3558953752514713</v>
      </c>
      <c r="Q585" t="str">
        <f t="shared" si="67"/>
        <v>Weekday</v>
      </c>
      <c r="R585" t="str">
        <f t="shared" si="68"/>
        <v>Jul</v>
      </c>
      <c r="S585">
        <f t="shared" si="69"/>
        <v>2023</v>
      </c>
    </row>
    <row r="586" spans="1:19" x14ac:dyDescent="0.25">
      <c r="A586">
        <v>100584</v>
      </c>
      <c r="B586" s="1">
        <v>45654</v>
      </c>
      <c r="C586" t="s">
        <v>52</v>
      </c>
      <c r="D586" t="s">
        <v>239</v>
      </c>
      <c r="E586" t="s">
        <v>260</v>
      </c>
      <c r="F586">
        <v>1</v>
      </c>
      <c r="G586">
        <v>3445.24</v>
      </c>
      <c r="H586">
        <v>15</v>
      </c>
      <c r="I586" t="str">
        <f>IF(Sales[[#This Row],[Discount]]&lt;=10,"0-10%",IF(Sales[[#This Row],[Discount]]&lt;=20,"10-20%","20-30%"))</f>
        <v>10-20%</v>
      </c>
      <c r="J586">
        <v>2235.2199999999998</v>
      </c>
      <c r="K586" t="s">
        <v>268</v>
      </c>
      <c r="L586" t="s">
        <v>266</v>
      </c>
      <c r="M586">
        <f t="shared" si="63"/>
        <v>2235.2199999999998</v>
      </c>
      <c r="N586">
        <f t="shared" si="64"/>
        <v>2928.4539999999997</v>
      </c>
      <c r="O586">
        <f t="shared" si="65"/>
        <v>693.23399999999992</v>
      </c>
      <c r="P586" s="2">
        <f t="shared" si="66"/>
        <v>0.23672354081710006</v>
      </c>
      <c r="Q586" t="str">
        <f t="shared" si="67"/>
        <v>Weekend</v>
      </c>
      <c r="R586" t="str">
        <f t="shared" si="68"/>
        <v>Dec</v>
      </c>
      <c r="S586">
        <f t="shared" si="69"/>
        <v>2024</v>
      </c>
    </row>
    <row r="587" spans="1:19" x14ac:dyDescent="0.25">
      <c r="A587">
        <v>100585</v>
      </c>
      <c r="B587" s="1">
        <v>45258</v>
      </c>
      <c r="C587" t="s">
        <v>18</v>
      </c>
      <c r="D587" t="s">
        <v>187</v>
      </c>
      <c r="E587" t="s">
        <v>257</v>
      </c>
      <c r="F587">
        <v>4</v>
      </c>
      <c r="G587">
        <v>2732</v>
      </c>
      <c r="H587">
        <v>25</v>
      </c>
      <c r="I587" t="str">
        <f>IF(Sales[[#This Row],[Discount]]&lt;=10,"0-10%",IF(Sales[[#This Row],[Discount]]&lt;=20,"10-20%","20-30%"))</f>
        <v>20-30%</v>
      </c>
      <c r="J587">
        <v>1445.58</v>
      </c>
      <c r="K587" t="s">
        <v>261</v>
      </c>
      <c r="L587" t="s">
        <v>265</v>
      </c>
      <c r="M587">
        <f t="shared" si="63"/>
        <v>5782.32</v>
      </c>
      <c r="N587">
        <f t="shared" si="64"/>
        <v>8196</v>
      </c>
      <c r="O587">
        <f t="shared" si="65"/>
        <v>2413.6800000000003</v>
      </c>
      <c r="P587" s="2">
        <f t="shared" si="66"/>
        <v>0.29449487554904835</v>
      </c>
      <c r="Q587" t="str">
        <f t="shared" si="67"/>
        <v>Weekday</v>
      </c>
      <c r="R587" t="str">
        <f t="shared" si="68"/>
        <v>Nov</v>
      </c>
      <c r="S587">
        <f t="shared" si="69"/>
        <v>2023</v>
      </c>
    </row>
    <row r="588" spans="1:19" x14ac:dyDescent="0.25">
      <c r="A588">
        <v>100586</v>
      </c>
      <c r="B588" s="1">
        <v>45585</v>
      </c>
      <c r="C588" t="s">
        <v>30</v>
      </c>
      <c r="D588" t="s">
        <v>162</v>
      </c>
      <c r="E588" t="s">
        <v>255</v>
      </c>
      <c r="F588">
        <v>4</v>
      </c>
      <c r="G588">
        <v>2482.84</v>
      </c>
      <c r="H588">
        <v>25</v>
      </c>
      <c r="I588" t="str">
        <f>IF(Sales[[#This Row],[Discount]]&lt;=10,"0-10%",IF(Sales[[#This Row],[Discount]]&lt;=20,"10-20%","20-30%"))</f>
        <v>20-30%</v>
      </c>
      <c r="J588">
        <v>1095.57</v>
      </c>
      <c r="K588" t="s">
        <v>268</v>
      </c>
      <c r="L588" t="s">
        <v>263</v>
      </c>
      <c r="M588">
        <f t="shared" si="63"/>
        <v>4382.28</v>
      </c>
      <c r="N588">
        <f t="shared" si="64"/>
        <v>7448.52</v>
      </c>
      <c r="O588">
        <f t="shared" si="65"/>
        <v>3066.2400000000007</v>
      </c>
      <c r="P588" s="2">
        <f t="shared" si="66"/>
        <v>0.41165761788919147</v>
      </c>
      <c r="Q588" t="str">
        <f t="shared" si="67"/>
        <v>Weekend</v>
      </c>
      <c r="R588" t="str">
        <f t="shared" si="68"/>
        <v>Oct</v>
      </c>
      <c r="S588">
        <f t="shared" si="69"/>
        <v>2024</v>
      </c>
    </row>
    <row r="589" spans="1:19" x14ac:dyDescent="0.25">
      <c r="A589">
        <v>100587</v>
      </c>
      <c r="B589" s="1">
        <v>45476</v>
      </c>
      <c r="C589" t="s">
        <v>58</v>
      </c>
      <c r="D589" t="s">
        <v>113</v>
      </c>
      <c r="E589" t="s">
        <v>254</v>
      </c>
      <c r="F589">
        <v>4</v>
      </c>
      <c r="G589">
        <v>2383.89</v>
      </c>
      <c r="H589">
        <v>15</v>
      </c>
      <c r="I589" t="str">
        <f>IF(Sales[[#This Row],[Discount]]&lt;=10,"0-10%",IF(Sales[[#This Row],[Discount]]&lt;=20,"10-20%","20-30%"))</f>
        <v>10-20%</v>
      </c>
      <c r="J589">
        <v>1387.73</v>
      </c>
      <c r="K589" t="s">
        <v>262</v>
      </c>
      <c r="L589" t="s">
        <v>265</v>
      </c>
      <c r="M589">
        <f t="shared" si="63"/>
        <v>5550.92</v>
      </c>
      <c r="N589">
        <f t="shared" si="64"/>
        <v>8105.2259999999997</v>
      </c>
      <c r="O589">
        <f t="shared" si="65"/>
        <v>2554.3059999999996</v>
      </c>
      <c r="P589" s="2">
        <f t="shared" si="66"/>
        <v>0.31514309409756119</v>
      </c>
      <c r="Q589" t="str">
        <f t="shared" si="67"/>
        <v>Weekday</v>
      </c>
      <c r="R589" t="str">
        <f t="shared" si="68"/>
        <v>Jul</v>
      </c>
      <c r="S589">
        <f t="shared" si="69"/>
        <v>2024</v>
      </c>
    </row>
    <row r="590" spans="1:19" x14ac:dyDescent="0.25">
      <c r="A590">
        <v>100588</v>
      </c>
      <c r="B590" s="1">
        <v>45381</v>
      </c>
      <c r="C590" t="s">
        <v>30</v>
      </c>
      <c r="D590" t="s">
        <v>160</v>
      </c>
      <c r="E590" t="s">
        <v>255</v>
      </c>
      <c r="F590">
        <v>1</v>
      </c>
      <c r="G590">
        <v>3602.38</v>
      </c>
      <c r="H590">
        <v>5</v>
      </c>
      <c r="I590" t="str">
        <f>IF(Sales[[#This Row],[Discount]]&lt;=10,"0-10%",IF(Sales[[#This Row],[Discount]]&lt;=20,"10-20%","20-30%"))</f>
        <v>0-10%</v>
      </c>
      <c r="J590">
        <v>1697.55</v>
      </c>
      <c r="K590" t="s">
        <v>261</v>
      </c>
      <c r="L590" t="s">
        <v>264</v>
      </c>
      <c r="M590">
        <f t="shared" si="63"/>
        <v>1697.55</v>
      </c>
      <c r="N590">
        <f t="shared" si="64"/>
        <v>3422.261</v>
      </c>
      <c r="O590">
        <f t="shared" si="65"/>
        <v>1724.711</v>
      </c>
      <c r="P590" s="2">
        <f t="shared" si="66"/>
        <v>0.50396828295679374</v>
      </c>
      <c r="Q590" t="str">
        <f t="shared" si="67"/>
        <v>Weekend</v>
      </c>
      <c r="R590" t="str">
        <f t="shared" si="68"/>
        <v>Mar</v>
      </c>
      <c r="S590">
        <f t="shared" si="69"/>
        <v>2024</v>
      </c>
    </row>
    <row r="591" spans="1:19" x14ac:dyDescent="0.25">
      <c r="A591">
        <v>100589</v>
      </c>
      <c r="B591" s="1">
        <v>45505</v>
      </c>
      <c r="C591" t="s">
        <v>41</v>
      </c>
      <c r="D591" t="s">
        <v>83</v>
      </c>
      <c r="E591" t="s">
        <v>254</v>
      </c>
      <c r="F591">
        <v>4</v>
      </c>
      <c r="G591">
        <v>1400.67</v>
      </c>
      <c r="H591">
        <v>0</v>
      </c>
      <c r="I591" t="str">
        <f>IF(Sales[[#This Row],[Discount]]&lt;=10,"0-10%",IF(Sales[[#This Row],[Discount]]&lt;=20,"10-20%","20-30%"))</f>
        <v>0-10%</v>
      </c>
      <c r="J591">
        <v>890.86</v>
      </c>
      <c r="K591" t="s">
        <v>262</v>
      </c>
      <c r="L591" t="s">
        <v>263</v>
      </c>
      <c r="M591">
        <f t="shared" si="63"/>
        <v>3563.44</v>
      </c>
      <c r="N591">
        <f t="shared" si="64"/>
        <v>5602.68</v>
      </c>
      <c r="O591">
        <f t="shared" si="65"/>
        <v>2039.2400000000002</v>
      </c>
      <c r="P591" s="2">
        <f t="shared" si="66"/>
        <v>0.36397581157588871</v>
      </c>
      <c r="Q591" t="str">
        <f t="shared" si="67"/>
        <v>Weekday</v>
      </c>
      <c r="R591" t="str">
        <f t="shared" si="68"/>
        <v>Aug</v>
      </c>
      <c r="S591">
        <f t="shared" si="69"/>
        <v>2024</v>
      </c>
    </row>
    <row r="592" spans="1:19" x14ac:dyDescent="0.25">
      <c r="A592">
        <v>100590</v>
      </c>
      <c r="B592" s="1">
        <v>45287</v>
      </c>
      <c r="C592" t="s">
        <v>42</v>
      </c>
      <c r="D592" t="s">
        <v>249</v>
      </c>
      <c r="E592" t="s">
        <v>257</v>
      </c>
      <c r="F592">
        <v>4</v>
      </c>
      <c r="G592">
        <v>4767.5</v>
      </c>
      <c r="H592">
        <v>5</v>
      </c>
      <c r="I592" t="str">
        <f>IF(Sales[[#This Row],[Discount]]&lt;=10,"0-10%",IF(Sales[[#This Row],[Discount]]&lt;=20,"10-20%","20-30%"))</f>
        <v>0-10%</v>
      </c>
      <c r="J592">
        <v>2766.08</v>
      </c>
      <c r="K592" t="s">
        <v>261</v>
      </c>
      <c r="L592" t="s">
        <v>266</v>
      </c>
      <c r="M592">
        <f t="shared" si="63"/>
        <v>11064.32</v>
      </c>
      <c r="N592">
        <f t="shared" si="64"/>
        <v>18116.5</v>
      </c>
      <c r="O592">
        <f t="shared" si="65"/>
        <v>7052.18</v>
      </c>
      <c r="P592" s="2">
        <f t="shared" si="66"/>
        <v>0.38926834653492676</v>
      </c>
      <c r="Q592" t="str">
        <f t="shared" si="67"/>
        <v>Weekday</v>
      </c>
      <c r="R592" t="str">
        <f t="shared" si="68"/>
        <v>Dec</v>
      </c>
      <c r="S592">
        <f t="shared" si="69"/>
        <v>2023</v>
      </c>
    </row>
    <row r="593" spans="1:19" x14ac:dyDescent="0.25">
      <c r="A593">
        <v>100591</v>
      </c>
      <c r="B593" s="1">
        <v>45591</v>
      </c>
      <c r="C593" t="s">
        <v>40</v>
      </c>
      <c r="D593" t="s">
        <v>179</v>
      </c>
      <c r="E593" t="s">
        <v>259</v>
      </c>
      <c r="F593">
        <v>4</v>
      </c>
      <c r="G593">
        <v>3280.29</v>
      </c>
      <c r="H593">
        <v>5</v>
      </c>
      <c r="I593" t="str">
        <f>IF(Sales[[#This Row],[Discount]]&lt;=10,"0-10%",IF(Sales[[#This Row],[Discount]]&lt;=20,"10-20%","20-30%"))</f>
        <v>0-10%</v>
      </c>
      <c r="J593">
        <v>1381.92</v>
      </c>
      <c r="K593" t="s">
        <v>262</v>
      </c>
      <c r="L593" t="s">
        <v>263</v>
      </c>
      <c r="M593">
        <f t="shared" si="63"/>
        <v>5527.68</v>
      </c>
      <c r="N593">
        <f t="shared" si="64"/>
        <v>12465.101999999999</v>
      </c>
      <c r="O593">
        <f t="shared" si="65"/>
        <v>6937.4219999999987</v>
      </c>
      <c r="P593" s="2">
        <f t="shared" si="66"/>
        <v>0.55654755171678494</v>
      </c>
      <c r="Q593" t="str">
        <f t="shared" si="67"/>
        <v>Weekend</v>
      </c>
      <c r="R593" t="str">
        <f t="shared" si="68"/>
        <v>Oct</v>
      </c>
      <c r="S593">
        <f t="shared" si="69"/>
        <v>2024</v>
      </c>
    </row>
    <row r="594" spans="1:19" x14ac:dyDescent="0.25">
      <c r="A594">
        <v>100592</v>
      </c>
      <c r="B594" s="1">
        <v>45574</v>
      </c>
      <c r="C594" t="s">
        <v>18</v>
      </c>
      <c r="D594" t="s">
        <v>80</v>
      </c>
      <c r="E594" t="s">
        <v>259</v>
      </c>
      <c r="F594">
        <v>1</v>
      </c>
      <c r="G594">
        <v>2520.7199999999998</v>
      </c>
      <c r="H594">
        <v>0</v>
      </c>
      <c r="I594" t="str">
        <f>IF(Sales[[#This Row],[Discount]]&lt;=10,"0-10%",IF(Sales[[#This Row],[Discount]]&lt;=20,"10-20%","20-30%"))</f>
        <v>0-10%</v>
      </c>
      <c r="J594">
        <v>1042.81</v>
      </c>
      <c r="K594" t="s">
        <v>262</v>
      </c>
      <c r="L594" t="s">
        <v>266</v>
      </c>
      <c r="M594">
        <f t="shared" si="63"/>
        <v>1042.81</v>
      </c>
      <c r="N594">
        <f t="shared" si="64"/>
        <v>2520.7199999999998</v>
      </c>
      <c r="O594">
        <f t="shared" si="65"/>
        <v>1477.9099999999999</v>
      </c>
      <c r="P594" s="2">
        <f t="shared" si="66"/>
        <v>0.58630470659176737</v>
      </c>
      <c r="Q594" t="str">
        <f t="shared" si="67"/>
        <v>Weekday</v>
      </c>
      <c r="R594" t="str">
        <f t="shared" si="68"/>
        <v>Oct</v>
      </c>
      <c r="S594">
        <f t="shared" si="69"/>
        <v>2024</v>
      </c>
    </row>
    <row r="595" spans="1:19" x14ac:dyDescent="0.25">
      <c r="A595">
        <v>100593</v>
      </c>
      <c r="B595" s="1">
        <v>45350</v>
      </c>
      <c r="C595" t="s">
        <v>60</v>
      </c>
      <c r="D595" t="s">
        <v>79</v>
      </c>
      <c r="E595" t="s">
        <v>257</v>
      </c>
      <c r="F595">
        <v>2</v>
      </c>
      <c r="G595">
        <v>4866.2</v>
      </c>
      <c r="H595">
        <v>0</v>
      </c>
      <c r="I595" t="str">
        <f>IF(Sales[[#This Row],[Discount]]&lt;=10,"0-10%",IF(Sales[[#This Row],[Discount]]&lt;=20,"10-20%","20-30%"))</f>
        <v>0-10%</v>
      </c>
      <c r="J595">
        <v>2430.1999999999998</v>
      </c>
      <c r="K595" t="s">
        <v>261</v>
      </c>
      <c r="L595" t="s">
        <v>265</v>
      </c>
      <c r="M595">
        <f t="shared" si="63"/>
        <v>4860.3999999999996</v>
      </c>
      <c r="N595">
        <f t="shared" si="64"/>
        <v>9732.4</v>
      </c>
      <c r="O595">
        <f t="shared" si="65"/>
        <v>4872</v>
      </c>
      <c r="P595" s="2">
        <f t="shared" si="66"/>
        <v>0.50059594755661507</v>
      </c>
      <c r="Q595" t="str">
        <f t="shared" si="67"/>
        <v>Weekday</v>
      </c>
      <c r="R595" t="str">
        <f t="shared" si="68"/>
        <v>Feb</v>
      </c>
      <c r="S595">
        <f t="shared" si="69"/>
        <v>2024</v>
      </c>
    </row>
    <row r="596" spans="1:19" x14ac:dyDescent="0.25">
      <c r="A596">
        <v>100594</v>
      </c>
      <c r="B596" s="1">
        <v>45615</v>
      </c>
      <c r="C596" t="s">
        <v>13</v>
      </c>
      <c r="D596" t="s">
        <v>214</v>
      </c>
      <c r="E596" t="s">
        <v>256</v>
      </c>
      <c r="F596">
        <v>3</v>
      </c>
      <c r="G596">
        <v>2403.1</v>
      </c>
      <c r="H596">
        <v>15</v>
      </c>
      <c r="I596" t="str">
        <f>IF(Sales[[#This Row],[Discount]]&lt;=10,"0-10%",IF(Sales[[#This Row],[Discount]]&lt;=20,"10-20%","20-30%"))</f>
        <v>10-20%</v>
      </c>
      <c r="J596">
        <v>1303.17</v>
      </c>
      <c r="K596" t="s">
        <v>268</v>
      </c>
      <c r="L596" t="s">
        <v>267</v>
      </c>
      <c r="M596">
        <f t="shared" si="63"/>
        <v>3909.51</v>
      </c>
      <c r="N596">
        <f t="shared" si="64"/>
        <v>6127.9049999999988</v>
      </c>
      <c r="O596">
        <f t="shared" si="65"/>
        <v>2218.3949999999986</v>
      </c>
      <c r="P596" s="2">
        <f t="shared" si="66"/>
        <v>0.36201524011876801</v>
      </c>
      <c r="Q596" t="str">
        <f t="shared" si="67"/>
        <v>Weekday</v>
      </c>
      <c r="R596" t="str">
        <f t="shared" si="68"/>
        <v>Nov</v>
      </c>
      <c r="S596">
        <f t="shared" si="69"/>
        <v>2024</v>
      </c>
    </row>
    <row r="597" spans="1:19" x14ac:dyDescent="0.25">
      <c r="A597">
        <v>100595</v>
      </c>
      <c r="B597" s="1">
        <v>45116</v>
      </c>
      <c r="C597" t="s">
        <v>58</v>
      </c>
      <c r="D597" t="s">
        <v>233</v>
      </c>
      <c r="E597" t="s">
        <v>256</v>
      </c>
      <c r="F597">
        <v>1</v>
      </c>
      <c r="G597">
        <v>325.88</v>
      </c>
      <c r="H597">
        <v>5</v>
      </c>
      <c r="I597" t="str">
        <f>IF(Sales[[#This Row],[Discount]]&lt;=10,"0-10%",IF(Sales[[#This Row],[Discount]]&lt;=20,"10-20%","20-30%"))</f>
        <v>0-10%</v>
      </c>
      <c r="J597">
        <v>131.1</v>
      </c>
      <c r="K597" t="s">
        <v>268</v>
      </c>
      <c r="L597" t="s">
        <v>263</v>
      </c>
      <c r="M597">
        <f t="shared" si="63"/>
        <v>131.1</v>
      </c>
      <c r="N597">
        <f t="shared" si="64"/>
        <v>309.58599999999996</v>
      </c>
      <c r="O597">
        <f t="shared" si="65"/>
        <v>178.48599999999996</v>
      </c>
      <c r="P597" s="2">
        <f t="shared" si="66"/>
        <v>0.57653123849269661</v>
      </c>
      <c r="Q597" t="str">
        <f t="shared" si="67"/>
        <v>Weekend</v>
      </c>
      <c r="R597" t="str">
        <f t="shared" si="68"/>
        <v>Jul</v>
      </c>
      <c r="S597">
        <f t="shared" si="69"/>
        <v>2023</v>
      </c>
    </row>
    <row r="598" spans="1:19" x14ac:dyDescent="0.25">
      <c r="A598">
        <v>100596</v>
      </c>
      <c r="B598" s="1">
        <v>45267</v>
      </c>
      <c r="C598" t="s">
        <v>28</v>
      </c>
      <c r="D598" t="s">
        <v>208</v>
      </c>
      <c r="E598" t="s">
        <v>260</v>
      </c>
      <c r="F598">
        <v>3</v>
      </c>
      <c r="G598">
        <v>4266.45</v>
      </c>
      <c r="H598">
        <v>30</v>
      </c>
      <c r="I598" t="str">
        <f>IF(Sales[[#This Row],[Discount]]&lt;=10,"0-10%",IF(Sales[[#This Row],[Discount]]&lt;=20,"10-20%","20-30%"))</f>
        <v>20-30%</v>
      </c>
      <c r="J598">
        <v>2071.2399999999998</v>
      </c>
      <c r="K598" t="s">
        <v>261</v>
      </c>
      <c r="L598" t="s">
        <v>267</v>
      </c>
      <c r="M598">
        <f t="shared" si="63"/>
        <v>6213.7199999999993</v>
      </c>
      <c r="N598">
        <f t="shared" si="64"/>
        <v>8959.5449999999983</v>
      </c>
      <c r="O598">
        <f t="shared" si="65"/>
        <v>2745.8249999999989</v>
      </c>
      <c r="P598" s="2">
        <f t="shared" si="66"/>
        <v>0.30646924592710895</v>
      </c>
      <c r="Q598" t="str">
        <f t="shared" si="67"/>
        <v>Weekday</v>
      </c>
      <c r="R598" t="str">
        <f t="shared" si="68"/>
        <v>Dec</v>
      </c>
      <c r="S598">
        <f t="shared" si="69"/>
        <v>2023</v>
      </c>
    </row>
    <row r="599" spans="1:19" x14ac:dyDescent="0.25">
      <c r="A599">
        <v>100597</v>
      </c>
      <c r="B599" s="1">
        <v>45308</v>
      </c>
      <c r="C599" t="s">
        <v>26</v>
      </c>
      <c r="D599" t="s">
        <v>99</v>
      </c>
      <c r="E599" t="s">
        <v>254</v>
      </c>
      <c r="F599">
        <v>4</v>
      </c>
      <c r="G599">
        <v>2709.54</v>
      </c>
      <c r="H599">
        <v>10</v>
      </c>
      <c r="I599" t="str">
        <f>IF(Sales[[#This Row],[Discount]]&lt;=10,"0-10%",IF(Sales[[#This Row],[Discount]]&lt;=20,"10-20%","20-30%"))</f>
        <v>0-10%</v>
      </c>
      <c r="J599">
        <v>1322.38</v>
      </c>
      <c r="K599" t="s">
        <v>262</v>
      </c>
      <c r="L599" t="s">
        <v>264</v>
      </c>
      <c r="M599">
        <f t="shared" si="63"/>
        <v>5289.52</v>
      </c>
      <c r="N599">
        <f t="shared" si="64"/>
        <v>9754.344000000001</v>
      </c>
      <c r="O599">
        <f t="shared" si="65"/>
        <v>4464.8240000000005</v>
      </c>
      <c r="P599" s="2">
        <f t="shared" si="66"/>
        <v>0.45772673180277423</v>
      </c>
      <c r="Q599" t="str">
        <f t="shared" si="67"/>
        <v>Weekday</v>
      </c>
      <c r="R599" t="str">
        <f t="shared" si="68"/>
        <v>Jan</v>
      </c>
      <c r="S599">
        <f t="shared" si="69"/>
        <v>2024</v>
      </c>
    </row>
    <row r="600" spans="1:19" x14ac:dyDescent="0.25">
      <c r="A600">
        <v>100598</v>
      </c>
      <c r="B600" s="1">
        <v>45497</v>
      </c>
      <c r="C600" t="s">
        <v>41</v>
      </c>
      <c r="D600" t="s">
        <v>143</v>
      </c>
      <c r="E600" t="s">
        <v>259</v>
      </c>
      <c r="F600">
        <v>4</v>
      </c>
      <c r="G600">
        <v>709.34</v>
      </c>
      <c r="H600">
        <v>25</v>
      </c>
      <c r="I600" t="str">
        <f>IF(Sales[[#This Row],[Discount]]&lt;=10,"0-10%",IF(Sales[[#This Row],[Discount]]&lt;=20,"10-20%","20-30%"))</f>
        <v>20-30%</v>
      </c>
      <c r="J600">
        <v>415.05</v>
      </c>
      <c r="K600" t="s">
        <v>261</v>
      </c>
      <c r="L600" t="s">
        <v>263</v>
      </c>
      <c r="M600">
        <f t="shared" si="63"/>
        <v>1660.2</v>
      </c>
      <c r="N600">
        <f t="shared" si="64"/>
        <v>2128.02</v>
      </c>
      <c r="O600">
        <f t="shared" si="65"/>
        <v>467.81999999999994</v>
      </c>
      <c r="P600" s="2">
        <f t="shared" si="66"/>
        <v>0.21983815941579493</v>
      </c>
      <c r="Q600" t="str">
        <f t="shared" si="67"/>
        <v>Weekday</v>
      </c>
      <c r="R600" t="str">
        <f t="shared" si="68"/>
        <v>Jul</v>
      </c>
      <c r="S600">
        <f t="shared" si="69"/>
        <v>2024</v>
      </c>
    </row>
    <row r="601" spans="1:19" x14ac:dyDescent="0.25">
      <c r="A601">
        <v>100599</v>
      </c>
      <c r="B601" s="1">
        <v>45420</v>
      </c>
      <c r="C601" t="s">
        <v>57</v>
      </c>
      <c r="D601" t="s">
        <v>136</v>
      </c>
      <c r="E601" t="s">
        <v>260</v>
      </c>
      <c r="F601">
        <v>3</v>
      </c>
      <c r="G601">
        <v>4408.8500000000004</v>
      </c>
      <c r="H601">
        <v>5</v>
      </c>
      <c r="I601" t="str">
        <f>IF(Sales[[#This Row],[Discount]]&lt;=10,"0-10%",IF(Sales[[#This Row],[Discount]]&lt;=20,"10-20%","20-30%"))</f>
        <v>0-10%</v>
      </c>
      <c r="J601">
        <v>2416.33</v>
      </c>
      <c r="K601" t="s">
        <v>268</v>
      </c>
      <c r="L601" t="s">
        <v>264</v>
      </c>
      <c r="M601">
        <f t="shared" si="63"/>
        <v>7248.99</v>
      </c>
      <c r="N601">
        <f t="shared" si="64"/>
        <v>12565.2225</v>
      </c>
      <c r="O601">
        <f t="shared" si="65"/>
        <v>5316.2325000000001</v>
      </c>
      <c r="P601" s="2">
        <f t="shared" si="66"/>
        <v>0.4230909958021038</v>
      </c>
      <c r="Q601" t="str">
        <f t="shared" si="67"/>
        <v>Weekday</v>
      </c>
      <c r="R601" t="str">
        <f t="shared" si="68"/>
        <v>May</v>
      </c>
      <c r="S601">
        <f t="shared" si="69"/>
        <v>2024</v>
      </c>
    </row>
    <row r="602" spans="1:19" x14ac:dyDescent="0.25">
      <c r="A602">
        <v>100600</v>
      </c>
      <c r="B602" s="1">
        <v>44927</v>
      </c>
      <c r="C602" t="s">
        <v>34</v>
      </c>
      <c r="D602" t="s">
        <v>247</v>
      </c>
      <c r="E602" t="s">
        <v>258</v>
      </c>
      <c r="F602">
        <v>3</v>
      </c>
      <c r="G602">
        <v>918</v>
      </c>
      <c r="H602">
        <v>30</v>
      </c>
      <c r="I602" t="str">
        <f>IF(Sales[[#This Row],[Discount]]&lt;=10,"0-10%",IF(Sales[[#This Row],[Discount]]&lt;=20,"10-20%","20-30%"))</f>
        <v>20-30%</v>
      </c>
      <c r="J602">
        <v>442.86</v>
      </c>
      <c r="K602" t="s">
        <v>262</v>
      </c>
      <c r="L602" t="s">
        <v>266</v>
      </c>
      <c r="M602">
        <f t="shared" si="63"/>
        <v>1328.58</v>
      </c>
      <c r="N602">
        <f t="shared" si="64"/>
        <v>1927.8</v>
      </c>
      <c r="O602">
        <f t="shared" si="65"/>
        <v>599.22</v>
      </c>
      <c r="P602" s="2">
        <f t="shared" si="66"/>
        <v>0.31083099906629319</v>
      </c>
      <c r="Q602" t="str">
        <f t="shared" si="67"/>
        <v>Weekend</v>
      </c>
      <c r="R602" t="str">
        <f t="shared" si="68"/>
        <v>Jan</v>
      </c>
      <c r="S602">
        <f t="shared" si="69"/>
        <v>2023</v>
      </c>
    </row>
    <row r="603" spans="1:19" x14ac:dyDescent="0.25">
      <c r="A603">
        <v>100601</v>
      </c>
      <c r="B603" s="1">
        <v>45035</v>
      </c>
      <c r="C603" t="s">
        <v>42</v>
      </c>
      <c r="D603" t="s">
        <v>129</v>
      </c>
      <c r="E603" t="s">
        <v>256</v>
      </c>
      <c r="F603">
        <v>4</v>
      </c>
      <c r="G603">
        <v>3730.34</v>
      </c>
      <c r="H603">
        <v>0</v>
      </c>
      <c r="I603" t="str">
        <f>IF(Sales[[#This Row],[Discount]]&lt;=10,"0-10%",IF(Sales[[#This Row],[Discount]]&lt;=20,"10-20%","20-30%"))</f>
        <v>0-10%</v>
      </c>
      <c r="J603">
        <v>2479.4699999999998</v>
      </c>
      <c r="K603" t="s">
        <v>261</v>
      </c>
      <c r="L603" t="s">
        <v>264</v>
      </c>
      <c r="M603">
        <f t="shared" si="63"/>
        <v>9917.8799999999992</v>
      </c>
      <c r="N603">
        <f t="shared" si="64"/>
        <v>14921.36</v>
      </c>
      <c r="O603">
        <f t="shared" si="65"/>
        <v>5003.4800000000014</v>
      </c>
      <c r="P603" s="2">
        <f t="shared" si="66"/>
        <v>0.3353233217347481</v>
      </c>
      <c r="Q603" t="str">
        <f t="shared" si="67"/>
        <v>Weekday</v>
      </c>
      <c r="R603" t="str">
        <f t="shared" si="68"/>
        <v>Apr</v>
      </c>
      <c r="S603">
        <f t="shared" si="69"/>
        <v>2023</v>
      </c>
    </row>
    <row r="604" spans="1:19" x14ac:dyDescent="0.25">
      <c r="A604">
        <v>100602</v>
      </c>
      <c r="B604" s="1">
        <v>45029</v>
      </c>
      <c r="C604" t="s">
        <v>35</v>
      </c>
      <c r="D604" t="s">
        <v>107</v>
      </c>
      <c r="E604" t="s">
        <v>256</v>
      </c>
      <c r="F604">
        <v>1</v>
      </c>
      <c r="G604">
        <v>1754.05</v>
      </c>
      <c r="H604">
        <v>30</v>
      </c>
      <c r="I604" t="str">
        <f>IF(Sales[[#This Row],[Discount]]&lt;=10,"0-10%",IF(Sales[[#This Row],[Discount]]&lt;=20,"10-20%","20-30%"))</f>
        <v>20-30%</v>
      </c>
      <c r="J604">
        <v>1135.1099999999999</v>
      </c>
      <c r="K604" t="s">
        <v>268</v>
      </c>
      <c r="L604" t="s">
        <v>264</v>
      </c>
      <c r="M604">
        <f t="shared" si="63"/>
        <v>1135.1099999999999</v>
      </c>
      <c r="N604">
        <f t="shared" si="64"/>
        <v>1227.8349999999998</v>
      </c>
      <c r="O604">
        <f t="shared" si="65"/>
        <v>92.724999999999909</v>
      </c>
      <c r="P604" s="2">
        <f t="shared" si="66"/>
        <v>7.5519104765705433E-2</v>
      </c>
      <c r="Q604" t="str">
        <f t="shared" si="67"/>
        <v>Weekday</v>
      </c>
      <c r="R604" t="str">
        <f t="shared" si="68"/>
        <v>Apr</v>
      </c>
      <c r="S604">
        <f t="shared" si="69"/>
        <v>2023</v>
      </c>
    </row>
    <row r="605" spans="1:19" x14ac:dyDescent="0.25">
      <c r="A605">
        <v>100603</v>
      </c>
      <c r="B605" s="1">
        <v>45596</v>
      </c>
      <c r="C605" t="s">
        <v>19</v>
      </c>
      <c r="D605" t="s">
        <v>78</v>
      </c>
      <c r="E605" t="s">
        <v>257</v>
      </c>
      <c r="F605">
        <v>4</v>
      </c>
      <c r="G605">
        <v>4355.54</v>
      </c>
      <c r="H605">
        <v>30</v>
      </c>
      <c r="I605" t="str">
        <f>IF(Sales[[#This Row],[Discount]]&lt;=10,"0-10%",IF(Sales[[#This Row],[Discount]]&lt;=20,"10-20%","20-30%"))</f>
        <v>20-30%</v>
      </c>
      <c r="J605">
        <v>1744.97</v>
      </c>
      <c r="K605" t="s">
        <v>268</v>
      </c>
      <c r="L605" t="s">
        <v>266</v>
      </c>
      <c r="M605">
        <f t="shared" si="63"/>
        <v>6979.88</v>
      </c>
      <c r="N605">
        <f t="shared" si="64"/>
        <v>12195.511999999999</v>
      </c>
      <c r="O605">
        <f t="shared" si="65"/>
        <v>5215.6319999999987</v>
      </c>
      <c r="P605" s="2">
        <f t="shared" si="66"/>
        <v>0.42766814546203546</v>
      </c>
      <c r="Q605" t="str">
        <f t="shared" si="67"/>
        <v>Weekday</v>
      </c>
      <c r="R605" t="str">
        <f t="shared" si="68"/>
        <v>Oct</v>
      </c>
      <c r="S605">
        <f t="shared" si="69"/>
        <v>2024</v>
      </c>
    </row>
    <row r="606" spans="1:19" x14ac:dyDescent="0.25">
      <c r="A606">
        <v>100604</v>
      </c>
      <c r="B606" s="1">
        <v>45584</v>
      </c>
      <c r="C606" t="s">
        <v>51</v>
      </c>
      <c r="D606" t="s">
        <v>102</v>
      </c>
      <c r="E606" t="s">
        <v>259</v>
      </c>
      <c r="F606">
        <v>3</v>
      </c>
      <c r="G606">
        <v>490.63</v>
      </c>
      <c r="H606">
        <v>15</v>
      </c>
      <c r="I606" t="str">
        <f>IF(Sales[[#This Row],[Discount]]&lt;=10,"0-10%",IF(Sales[[#This Row],[Discount]]&lt;=20,"10-20%","20-30%"))</f>
        <v>10-20%</v>
      </c>
      <c r="J606">
        <v>324.54000000000002</v>
      </c>
      <c r="K606" t="s">
        <v>262</v>
      </c>
      <c r="L606" t="s">
        <v>266</v>
      </c>
      <c r="M606">
        <f t="shared" si="63"/>
        <v>973.62000000000012</v>
      </c>
      <c r="N606">
        <f t="shared" si="64"/>
        <v>1251.1064999999999</v>
      </c>
      <c r="O606">
        <f t="shared" si="65"/>
        <v>277.48649999999975</v>
      </c>
      <c r="P606" s="2">
        <f t="shared" si="66"/>
        <v>0.22179286895240316</v>
      </c>
      <c r="Q606" t="str">
        <f t="shared" si="67"/>
        <v>Weekend</v>
      </c>
      <c r="R606" t="str">
        <f t="shared" si="68"/>
        <v>Oct</v>
      </c>
      <c r="S606">
        <f t="shared" si="69"/>
        <v>2024</v>
      </c>
    </row>
    <row r="607" spans="1:19" x14ac:dyDescent="0.25">
      <c r="A607">
        <v>100605</v>
      </c>
      <c r="B607" s="1">
        <v>45520</v>
      </c>
      <c r="C607" t="s">
        <v>21</v>
      </c>
      <c r="D607" t="s">
        <v>136</v>
      </c>
      <c r="E607" t="s">
        <v>254</v>
      </c>
      <c r="F607">
        <v>4</v>
      </c>
      <c r="G607">
        <v>2104.04</v>
      </c>
      <c r="H607">
        <v>10</v>
      </c>
      <c r="I607" t="str">
        <f>IF(Sales[[#This Row],[Discount]]&lt;=10,"0-10%",IF(Sales[[#This Row],[Discount]]&lt;=20,"10-20%","20-30%"))</f>
        <v>0-10%</v>
      </c>
      <c r="J607">
        <v>1129.5999999999999</v>
      </c>
      <c r="K607" t="s">
        <v>268</v>
      </c>
      <c r="L607" t="s">
        <v>263</v>
      </c>
      <c r="M607">
        <f t="shared" si="63"/>
        <v>4518.3999999999996</v>
      </c>
      <c r="N607">
        <f t="shared" si="64"/>
        <v>7574.5439999999999</v>
      </c>
      <c r="O607">
        <f t="shared" si="65"/>
        <v>3056.1440000000002</v>
      </c>
      <c r="P607" s="2">
        <f t="shared" si="66"/>
        <v>0.4034756415699744</v>
      </c>
      <c r="Q607" t="str">
        <f t="shared" si="67"/>
        <v>Weekday</v>
      </c>
      <c r="R607" t="str">
        <f t="shared" si="68"/>
        <v>Aug</v>
      </c>
      <c r="S607">
        <f t="shared" si="69"/>
        <v>2024</v>
      </c>
    </row>
    <row r="608" spans="1:19" x14ac:dyDescent="0.25">
      <c r="A608">
        <v>100606</v>
      </c>
      <c r="B608" s="1">
        <v>45258</v>
      </c>
      <c r="C608" t="s">
        <v>29</v>
      </c>
      <c r="D608" t="s">
        <v>200</v>
      </c>
      <c r="E608" t="s">
        <v>258</v>
      </c>
      <c r="F608">
        <v>3</v>
      </c>
      <c r="G608">
        <v>2269.0500000000002</v>
      </c>
      <c r="H608">
        <v>30</v>
      </c>
      <c r="I608" t="str">
        <f>IF(Sales[[#This Row],[Discount]]&lt;=10,"0-10%",IF(Sales[[#This Row],[Discount]]&lt;=20,"10-20%","20-30%"))</f>
        <v>20-30%</v>
      </c>
      <c r="J608">
        <v>1418.96</v>
      </c>
      <c r="K608" t="s">
        <v>262</v>
      </c>
      <c r="L608" t="s">
        <v>265</v>
      </c>
      <c r="M608">
        <f t="shared" si="63"/>
        <v>4256.88</v>
      </c>
      <c r="N608">
        <f t="shared" si="64"/>
        <v>4765.0050000000001</v>
      </c>
      <c r="O608">
        <f t="shared" si="65"/>
        <v>508.125</v>
      </c>
      <c r="P608" s="2">
        <f t="shared" si="66"/>
        <v>0.10663682409567252</v>
      </c>
      <c r="Q608" t="str">
        <f t="shared" si="67"/>
        <v>Weekday</v>
      </c>
      <c r="R608" t="str">
        <f t="shared" si="68"/>
        <v>Nov</v>
      </c>
      <c r="S608">
        <f t="shared" si="69"/>
        <v>2023</v>
      </c>
    </row>
    <row r="609" spans="1:19" x14ac:dyDescent="0.25">
      <c r="A609">
        <v>100607</v>
      </c>
      <c r="B609" s="1">
        <v>45031</v>
      </c>
      <c r="C609" t="s">
        <v>58</v>
      </c>
      <c r="D609" t="s">
        <v>102</v>
      </c>
      <c r="E609" t="s">
        <v>255</v>
      </c>
      <c r="F609">
        <v>3</v>
      </c>
      <c r="G609">
        <v>1967.43</v>
      </c>
      <c r="H609">
        <v>0</v>
      </c>
      <c r="I609" t="str">
        <f>IF(Sales[[#This Row],[Discount]]&lt;=10,"0-10%",IF(Sales[[#This Row],[Discount]]&lt;=20,"10-20%","20-30%"))</f>
        <v>0-10%</v>
      </c>
      <c r="J609">
        <v>1342.81</v>
      </c>
      <c r="K609" t="s">
        <v>261</v>
      </c>
      <c r="L609" t="s">
        <v>266</v>
      </c>
      <c r="M609">
        <f t="shared" si="63"/>
        <v>4028.43</v>
      </c>
      <c r="N609">
        <f t="shared" si="64"/>
        <v>5902.29</v>
      </c>
      <c r="O609">
        <f t="shared" si="65"/>
        <v>1873.8600000000001</v>
      </c>
      <c r="P609" s="2">
        <f t="shared" si="66"/>
        <v>0.31748016447853294</v>
      </c>
      <c r="Q609" t="str">
        <f t="shared" si="67"/>
        <v>Weekend</v>
      </c>
      <c r="R609" t="str">
        <f t="shared" si="68"/>
        <v>Apr</v>
      </c>
      <c r="S609">
        <f t="shared" si="69"/>
        <v>2023</v>
      </c>
    </row>
    <row r="610" spans="1:19" x14ac:dyDescent="0.25">
      <c r="A610">
        <v>100608</v>
      </c>
      <c r="B610" s="1">
        <v>45136</v>
      </c>
      <c r="C610" t="s">
        <v>12</v>
      </c>
      <c r="D610" t="s">
        <v>68</v>
      </c>
      <c r="E610" t="s">
        <v>259</v>
      </c>
      <c r="F610">
        <v>3</v>
      </c>
      <c r="G610">
        <v>3090.21</v>
      </c>
      <c r="H610">
        <v>5</v>
      </c>
      <c r="I610" t="str">
        <f>IF(Sales[[#This Row],[Discount]]&lt;=10,"0-10%",IF(Sales[[#This Row],[Discount]]&lt;=20,"10-20%","20-30%"))</f>
        <v>0-10%</v>
      </c>
      <c r="J610">
        <v>1245.48</v>
      </c>
      <c r="K610" t="s">
        <v>262</v>
      </c>
      <c r="L610" t="s">
        <v>267</v>
      </c>
      <c r="M610">
        <f t="shared" si="63"/>
        <v>3736.44</v>
      </c>
      <c r="N610">
        <f t="shared" si="64"/>
        <v>8807.0985000000001</v>
      </c>
      <c r="O610">
        <f t="shared" si="65"/>
        <v>5070.6584999999995</v>
      </c>
      <c r="P610" s="2">
        <f t="shared" si="66"/>
        <v>0.57574676835963623</v>
      </c>
      <c r="Q610" t="str">
        <f t="shared" si="67"/>
        <v>Weekend</v>
      </c>
      <c r="R610" t="str">
        <f t="shared" si="68"/>
        <v>Jul</v>
      </c>
      <c r="S610">
        <f t="shared" si="69"/>
        <v>2023</v>
      </c>
    </row>
    <row r="611" spans="1:19" x14ac:dyDescent="0.25">
      <c r="A611">
        <v>100609</v>
      </c>
      <c r="B611" s="1">
        <v>45010</v>
      </c>
      <c r="C611" t="s">
        <v>15</v>
      </c>
      <c r="D611" t="s">
        <v>93</v>
      </c>
      <c r="E611" t="s">
        <v>260</v>
      </c>
      <c r="F611">
        <v>2</v>
      </c>
      <c r="G611">
        <v>843.97</v>
      </c>
      <c r="H611">
        <v>0</v>
      </c>
      <c r="I611" t="str">
        <f>IF(Sales[[#This Row],[Discount]]&lt;=10,"0-10%",IF(Sales[[#This Row],[Discount]]&lt;=20,"10-20%","20-30%"))</f>
        <v>0-10%</v>
      </c>
      <c r="J611">
        <v>376.66</v>
      </c>
      <c r="K611" t="s">
        <v>268</v>
      </c>
      <c r="L611" t="s">
        <v>267</v>
      </c>
      <c r="M611">
        <f t="shared" si="63"/>
        <v>753.32</v>
      </c>
      <c r="N611">
        <f t="shared" si="64"/>
        <v>1687.94</v>
      </c>
      <c r="O611">
        <f t="shared" si="65"/>
        <v>934.62</v>
      </c>
      <c r="P611" s="2">
        <f t="shared" si="66"/>
        <v>0.55370451556334943</v>
      </c>
      <c r="Q611" t="str">
        <f t="shared" si="67"/>
        <v>Weekend</v>
      </c>
      <c r="R611" t="str">
        <f t="shared" si="68"/>
        <v>Mar</v>
      </c>
      <c r="S611">
        <f t="shared" si="69"/>
        <v>2023</v>
      </c>
    </row>
    <row r="612" spans="1:19" x14ac:dyDescent="0.25">
      <c r="A612">
        <v>100610</v>
      </c>
      <c r="B612" s="1">
        <v>45313</v>
      </c>
      <c r="C612" t="s">
        <v>11</v>
      </c>
      <c r="D612" t="s">
        <v>98</v>
      </c>
      <c r="E612" t="s">
        <v>259</v>
      </c>
      <c r="F612">
        <v>3</v>
      </c>
      <c r="G612">
        <v>3782.61</v>
      </c>
      <c r="H612">
        <v>5</v>
      </c>
      <c r="I612" t="str">
        <f>IF(Sales[[#This Row],[Discount]]&lt;=10,"0-10%",IF(Sales[[#This Row],[Discount]]&lt;=20,"10-20%","20-30%"))</f>
        <v>0-10%</v>
      </c>
      <c r="J612">
        <v>2114.4699999999998</v>
      </c>
      <c r="K612" t="s">
        <v>261</v>
      </c>
      <c r="L612" t="s">
        <v>264</v>
      </c>
      <c r="M612">
        <f t="shared" si="63"/>
        <v>6343.41</v>
      </c>
      <c r="N612">
        <f t="shared" si="64"/>
        <v>10780.4385</v>
      </c>
      <c r="O612">
        <f t="shared" si="65"/>
        <v>4437.0285000000003</v>
      </c>
      <c r="P612" s="2">
        <f t="shared" si="66"/>
        <v>0.41158144912194439</v>
      </c>
      <c r="Q612" t="str">
        <f t="shared" si="67"/>
        <v>Weekday</v>
      </c>
      <c r="R612" t="str">
        <f t="shared" si="68"/>
        <v>Jan</v>
      </c>
      <c r="S612">
        <f t="shared" si="69"/>
        <v>2024</v>
      </c>
    </row>
    <row r="613" spans="1:19" x14ac:dyDescent="0.25">
      <c r="A613">
        <v>100611</v>
      </c>
      <c r="B613" s="1">
        <v>45194</v>
      </c>
      <c r="C613" t="s">
        <v>20</v>
      </c>
      <c r="D613" t="s">
        <v>138</v>
      </c>
      <c r="E613" t="s">
        <v>260</v>
      </c>
      <c r="F613">
        <v>2</v>
      </c>
      <c r="G613">
        <v>968.04</v>
      </c>
      <c r="H613">
        <v>5</v>
      </c>
      <c r="I613" t="str">
        <f>IF(Sales[[#This Row],[Discount]]&lt;=10,"0-10%",IF(Sales[[#This Row],[Discount]]&lt;=20,"10-20%","20-30%"))</f>
        <v>0-10%</v>
      </c>
      <c r="J613">
        <v>390.62</v>
      </c>
      <c r="K613" t="s">
        <v>261</v>
      </c>
      <c r="L613" t="s">
        <v>267</v>
      </c>
      <c r="M613">
        <f t="shared" si="63"/>
        <v>781.24</v>
      </c>
      <c r="N613">
        <f t="shared" si="64"/>
        <v>1839.2759999999998</v>
      </c>
      <c r="O613">
        <f t="shared" si="65"/>
        <v>1058.0359999999998</v>
      </c>
      <c r="P613" s="2">
        <f t="shared" si="66"/>
        <v>0.57524591197840891</v>
      </c>
      <c r="Q613" t="str">
        <f t="shared" si="67"/>
        <v>Weekday</v>
      </c>
      <c r="R613" t="str">
        <f t="shared" si="68"/>
        <v>Sep</v>
      </c>
      <c r="S613">
        <f t="shared" si="69"/>
        <v>2023</v>
      </c>
    </row>
    <row r="614" spans="1:19" x14ac:dyDescent="0.25">
      <c r="A614">
        <v>100612</v>
      </c>
      <c r="B614" s="1">
        <v>45283</v>
      </c>
      <c r="C614" t="s">
        <v>59</v>
      </c>
      <c r="D614" t="s">
        <v>227</v>
      </c>
      <c r="E614" t="s">
        <v>255</v>
      </c>
      <c r="F614">
        <v>3</v>
      </c>
      <c r="G614">
        <v>2584.1999999999998</v>
      </c>
      <c r="H614">
        <v>0</v>
      </c>
      <c r="I614" t="str">
        <f>IF(Sales[[#This Row],[Discount]]&lt;=10,"0-10%",IF(Sales[[#This Row],[Discount]]&lt;=20,"10-20%","20-30%"))</f>
        <v>0-10%</v>
      </c>
      <c r="J614">
        <v>1481.16</v>
      </c>
      <c r="K614" t="s">
        <v>261</v>
      </c>
      <c r="L614" t="s">
        <v>265</v>
      </c>
      <c r="M614">
        <f t="shared" si="63"/>
        <v>4443.4800000000005</v>
      </c>
      <c r="N614">
        <f t="shared" si="64"/>
        <v>7752.5999999999995</v>
      </c>
      <c r="O614">
        <f t="shared" si="65"/>
        <v>3309.119999999999</v>
      </c>
      <c r="P614" s="2">
        <f t="shared" si="66"/>
        <v>0.42684002786162051</v>
      </c>
      <c r="Q614" t="str">
        <f t="shared" si="67"/>
        <v>Weekend</v>
      </c>
      <c r="R614" t="str">
        <f t="shared" si="68"/>
        <v>Dec</v>
      </c>
      <c r="S614">
        <f t="shared" si="69"/>
        <v>2023</v>
      </c>
    </row>
    <row r="615" spans="1:19" x14ac:dyDescent="0.25">
      <c r="A615">
        <v>100613</v>
      </c>
      <c r="B615" s="1">
        <v>45334</v>
      </c>
      <c r="C615" t="s">
        <v>22</v>
      </c>
      <c r="D615" t="s">
        <v>165</v>
      </c>
      <c r="E615" t="s">
        <v>260</v>
      </c>
      <c r="F615">
        <v>1</v>
      </c>
      <c r="G615">
        <v>1315.44</v>
      </c>
      <c r="H615">
        <v>15</v>
      </c>
      <c r="I615" t="str">
        <f>IF(Sales[[#This Row],[Discount]]&lt;=10,"0-10%",IF(Sales[[#This Row],[Discount]]&lt;=20,"10-20%","20-30%"))</f>
        <v>10-20%</v>
      </c>
      <c r="J615">
        <v>710.31</v>
      </c>
      <c r="K615" t="s">
        <v>262</v>
      </c>
      <c r="L615" t="s">
        <v>267</v>
      </c>
      <c r="M615">
        <f t="shared" si="63"/>
        <v>710.31</v>
      </c>
      <c r="N615">
        <f t="shared" si="64"/>
        <v>1118.124</v>
      </c>
      <c r="O615">
        <f t="shared" si="65"/>
        <v>407.81400000000008</v>
      </c>
      <c r="P615" s="2">
        <f t="shared" si="66"/>
        <v>0.3647305665561244</v>
      </c>
      <c r="Q615" t="str">
        <f t="shared" si="67"/>
        <v>Weekday</v>
      </c>
      <c r="R615" t="str">
        <f t="shared" si="68"/>
        <v>Feb</v>
      </c>
      <c r="S615">
        <f t="shared" si="69"/>
        <v>2024</v>
      </c>
    </row>
    <row r="616" spans="1:19" x14ac:dyDescent="0.25">
      <c r="A616">
        <v>100614</v>
      </c>
      <c r="B616" s="1">
        <v>45346</v>
      </c>
      <c r="C616" t="s">
        <v>12</v>
      </c>
      <c r="D616" t="s">
        <v>120</v>
      </c>
      <c r="E616" t="s">
        <v>258</v>
      </c>
      <c r="F616">
        <v>4</v>
      </c>
      <c r="G616">
        <v>2120.75</v>
      </c>
      <c r="H616">
        <v>10</v>
      </c>
      <c r="I616" t="str">
        <f>IF(Sales[[#This Row],[Discount]]&lt;=10,"0-10%",IF(Sales[[#This Row],[Discount]]&lt;=20,"10-20%","20-30%"))</f>
        <v>0-10%</v>
      </c>
      <c r="J616">
        <v>1390.26</v>
      </c>
      <c r="K616" t="s">
        <v>261</v>
      </c>
      <c r="L616" t="s">
        <v>266</v>
      </c>
      <c r="M616">
        <f t="shared" si="63"/>
        <v>5561.04</v>
      </c>
      <c r="N616">
        <f t="shared" si="64"/>
        <v>7634.7</v>
      </c>
      <c r="O616">
        <f t="shared" si="65"/>
        <v>2073.66</v>
      </c>
      <c r="P616" s="2">
        <f t="shared" si="66"/>
        <v>0.27160988643954576</v>
      </c>
      <c r="Q616" t="str">
        <f t="shared" si="67"/>
        <v>Weekend</v>
      </c>
      <c r="R616" t="str">
        <f t="shared" si="68"/>
        <v>Feb</v>
      </c>
      <c r="S616">
        <f t="shared" si="69"/>
        <v>2024</v>
      </c>
    </row>
    <row r="617" spans="1:19" x14ac:dyDescent="0.25">
      <c r="A617">
        <v>100615</v>
      </c>
      <c r="B617" s="1">
        <v>45560</v>
      </c>
      <c r="C617" t="s">
        <v>37</v>
      </c>
      <c r="D617" t="s">
        <v>251</v>
      </c>
      <c r="E617" t="s">
        <v>259</v>
      </c>
      <c r="F617">
        <v>1</v>
      </c>
      <c r="G617">
        <v>1594.29</v>
      </c>
      <c r="H617">
        <v>0</v>
      </c>
      <c r="I617" t="str">
        <f>IF(Sales[[#This Row],[Discount]]&lt;=10,"0-10%",IF(Sales[[#This Row],[Discount]]&lt;=20,"10-20%","20-30%"))</f>
        <v>0-10%</v>
      </c>
      <c r="J617">
        <v>784.22</v>
      </c>
      <c r="K617" t="s">
        <v>262</v>
      </c>
      <c r="L617" t="s">
        <v>267</v>
      </c>
      <c r="M617">
        <f t="shared" si="63"/>
        <v>784.22</v>
      </c>
      <c r="N617">
        <f t="shared" si="64"/>
        <v>1594.29</v>
      </c>
      <c r="O617">
        <f t="shared" si="65"/>
        <v>810.06999999999994</v>
      </c>
      <c r="P617" s="2">
        <f t="shared" si="66"/>
        <v>0.50810705705988246</v>
      </c>
      <c r="Q617" t="str">
        <f t="shared" si="67"/>
        <v>Weekday</v>
      </c>
      <c r="R617" t="str">
        <f t="shared" si="68"/>
        <v>Sep</v>
      </c>
      <c r="S617">
        <f t="shared" si="69"/>
        <v>2024</v>
      </c>
    </row>
    <row r="618" spans="1:19" x14ac:dyDescent="0.25">
      <c r="A618">
        <v>100616</v>
      </c>
      <c r="B618" s="1">
        <v>45121</v>
      </c>
      <c r="C618" t="s">
        <v>54</v>
      </c>
      <c r="D618" t="s">
        <v>224</v>
      </c>
      <c r="E618" t="s">
        <v>258</v>
      </c>
      <c r="F618">
        <v>4</v>
      </c>
      <c r="G618">
        <v>1363.51</v>
      </c>
      <c r="H618">
        <v>20</v>
      </c>
      <c r="I618" t="str">
        <f>IF(Sales[[#This Row],[Discount]]&lt;=10,"0-10%",IF(Sales[[#This Row],[Discount]]&lt;=20,"10-20%","20-30%"))</f>
        <v>10-20%</v>
      </c>
      <c r="J618">
        <v>702.58</v>
      </c>
      <c r="K618" t="s">
        <v>261</v>
      </c>
      <c r="L618" t="s">
        <v>265</v>
      </c>
      <c r="M618">
        <f t="shared" si="63"/>
        <v>2810.32</v>
      </c>
      <c r="N618">
        <f t="shared" si="64"/>
        <v>4363.232</v>
      </c>
      <c r="O618">
        <f t="shared" si="65"/>
        <v>1552.9119999999998</v>
      </c>
      <c r="P618" s="2">
        <f t="shared" si="66"/>
        <v>0.3559086475346715</v>
      </c>
      <c r="Q618" t="str">
        <f t="shared" si="67"/>
        <v>Weekday</v>
      </c>
      <c r="R618" t="str">
        <f t="shared" si="68"/>
        <v>Jul</v>
      </c>
      <c r="S618">
        <f t="shared" si="69"/>
        <v>2023</v>
      </c>
    </row>
    <row r="619" spans="1:19" x14ac:dyDescent="0.25">
      <c r="A619">
        <v>100617</v>
      </c>
      <c r="B619" s="1">
        <v>45286</v>
      </c>
      <c r="C619" t="s">
        <v>46</v>
      </c>
      <c r="D619" t="s">
        <v>100</v>
      </c>
      <c r="E619" t="s">
        <v>256</v>
      </c>
      <c r="F619">
        <v>4</v>
      </c>
      <c r="G619">
        <v>4608.1899999999996</v>
      </c>
      <c r="H619">
        <v>25</v>
      </c>
      <c r="I619" t="str">
        <f>IF(Sales[[#This Row],[Discount]]&lt;=10,"0-10%",IF(Sales[[#This Row],[Discount]]&lt;=20,"10-20%","20-30%"))</f>
        <v>20-30%</v>
      </c>
      <c r="J619">
        <v>2439.09</v>
      </c>
      <c r="K619" t="s">
        <v>268</v>
      </c>
      <c r="L619" t="s">
        <v>267</v>
      </c>
      <c r="M619">
        <f t="shared" si="63"/>
        <v>9756.36</v>
      </c>
      <c r="N619">
        <f t="shared" si="64"/>
        <v>13824.57</v>
      </c>
      <c r="O619">
        <f t="shared" si="65"/>
        <v>4068.2099999999991</v>
      </c>
      <c r="P619" s="2">
        <f t="shared" si="66"/>
        <v>0.29427389061648929</v>
      </c>
      <c r="Q619" t="str">
        <f t="shared" si="67"/>
        <v>Weekday</v>
      </c>
      <c r="R619" t="str">
        <f t="shared" si="68"/>
        <v>Dec</v>
      </c>
      <c r="S619">
        <f t="shared" si="69"/>
        <v>2023</v>
      </c>
    </row>
    <row r="620" spans="1:19" x14ac:dyDescent="0.25">
      <c r="A620">
        <v>100618</v>
      </c>
      <c r="B620" s="1">
        <v>45044</v>
      </c>
      <c r="C620" t="s">
        <v>43</v>
      </c>
      <c r="D620" t="s">
        <v>226</v>
      </c>
      <c r="E620" t="s">
        <v>259</v>
      </c>
      <c r="F620">
        <v>4</v>
      </c>
      <c r="G620">
        <v>357.86</v>
      </c>
      <c r="H620">
        <v>15</v>
      </c>
      <c r="I620" t="str">
        <f>IF(Sales[[#This Row],[Discount]]&lt;=10,"0-10%",IF(Sales[[#This Row],[Discount]]&lt;=20,"10-20%","20-30%"))</f>
        <v>10-20%</v>
      </c>
      <c r="J620">
        <v>182.87</v>
      </c>
      <c r="K620" t="s">
        <v>262</v>
      </c>
      <c r="L620" t="s">
        <v>266</v>
      </c>
      <c r="M620">
        <f t="shared" si="63"/>
        <v>731.48</v>
      </c>
      <c r="N620">
        <f t="shared" si="64"/>
        <v>1216.7239999999999</v>
      </c>
      <c r="O620">
        <f t="shared" si="65"/>
        <v>485.24399999999991</v>
      </c>
      <c r="P620" s="2">
        <f t="shared" si="66"/>
        <v>0.39881189160401204</v>
      </c>
      <c r="Q620" t="str">
        <f t="shared" si="67"/>
        <v>Weekday</v>
      </c>
      <c r="R620" t="str">
        <f t="shared" si="68"/>
        <v>Apr</v>
      </c>
      <c r="S620">
        <f t="shared" si="69"/>
        <v>2023</v>
      </c>
    </row>
    <row r="621" spans="1:19" x14ac:dyDescent="0.25">
      <c r="A621">
        <v>100619</v>
      </c>
      <c r="B621" s="1">
        <v>45366</v>
      </c>
      <c r="C621" t="s">
        <v>30</v>
      </c>
      <c r="D621" t="s">
        <v>224</v>
      </c>
      <c r="E621" t="s">
        <v>258</v>
      </c>
      <c r="F621">
        <v>4</v>
      </c>
      <c r="G621">
        <v>3535.5</v>
      </c>
      <c r="H621">
        <v>0</v>
      </c>
      <c r="I621" t="str">
        <f>IF(Sales[[#This Row],[Discount]]&lt;=10,"0-10%",IF(Sales[[#This Row],[Discount]]&lt;=20,"10-20%","20-30%"))</f>
        <v>0-10%</v>
      </c>
      <c r="J621">
        <v>1811.47</v>
      </c>
      <c r="K621" t="s">
        <v>268</v>
      </c>
      <c r="L621" t="s">
        <v>267</v>
      </c>
      <c r="M621">
        <f t="shared" si="63"/>
        <v>7245.88</v>
      </c>
      <c r="N621">
        <f t="shared" si="64"/>
        <v>14142</v>
      </c>
      <c r="O621">
        <f t="shared" si="65"/>
        <v>6896.12</v>
      </c>
      <c r="P621" s="2">
        <f t="shared" si="66"/>
        <v>0.487633998020082</v>
      </c>
      <c r="Q621" t="str">
        <f t="shared" si="67"/>
        <v>Weekday</v>
      </c>
      <c r="R621" t="str">
        <f t="shared" si="68"/>
        <v>Mar</v>
      </c>
      <c r="S621">
        <f t="shared" si="69"/>
        <v>2024</v>
      </c>
    </row>
    <row r="622" spans="1:19" x14ac:dyDescent="0.25">
      <c r="A622">
        <v>100620</v>
      </c>
      <c r="B622" s="1">
        <v>45119</v>
      </c>
      <c r="C622" t="s">
        <v>56</v>
      </c>
      <c r="D622" t="s">
        <v>183</v>
      </c>
      <c r="E622" t="s">
        <v>258</v>
      </c>
      <c r="F622">
        <v>1</v>
      </c>
      <c r="G622">
        <v>3334.98</v>
      </c>
      <c r="H622">
        <v>25</v>
      </c>
      <c r="I622" t="str">
        <f>IF(Sales[[#This Row],[Discount]]&lt;=10,"0-10%",IF(Sales[[#This Row],[Discount]]&lt;=20,"10-20%","20-30%"))</f>
        <v>20-30%</v>
      </c>
      <c r="J622">
        <v>1378.79</v>
      </c>
      <c r="K622" t="s">
        <v>261</v>
      </c>
      <c r="L622" t="s">
        <v>264</v>
      </c>
      <c r="M622">
        <f t="shared" si="63"/>
        <v>1378.79</v>
      </c>
      <c r="N622">
        <f t="shared" si="64"/>
        <v>2501.2350000000001</v>
      </c>
      <c r="O622">
        <f t="shared" si="65"/>
        <v>1122.4450000000002</v>
      </c>
      <c r="P622" s="2">
        <f t="shared" si="66"/>
        <v>0.44875631438069596</v>
      </c>
      <c r="Q622" t="str">
        <f t="shared" si="67"/>
        <v>Weekday</v>
      </c>
      <c r="R622" t="str">
        <f t="shared" si="68"/>
        <v>Jul</v>
      </c>
      <c r="S622">
        <f t="shared" si="69"/>
        <v>2023</v>
      </c>
    </row>
    <row r="623" spans="1:19" x14ac:dyDescent="0.25">
      <c r="A623">
        <v>100621</v>
      </c>
      <c r="B623" s="1">
        <v>45345</v>
      </c>
      <c r="C623" t="s">
        <v>58</v>
      </c>
      <c r="D623" t="s">
        <v>232</v>
      </c>
      <c r="E623" t="s">
        <v>258</v>
      </c>
      <c r="F623">
        <v>4</v>
      </c>
      <c r="G623">
        <v>1896.91</v>
      </c>
      <c r="H623">
        <v>10</v>
      </c>
      <c r="I623" t="str">
        <f>IF(Sales[[#This Row],[Discount]]&lt;=10,"0-10%",IF(Sales[[#This Row],[Discount]]&lt;=20,"10-20%","20-30%"))</f>
        <v>0-10%</v>
      </c>
      <c r="J623">
        <v>1053.1099999999999</v>
      </c>
      <c r="K623" t="s">
        <v>268</v>
      </c>
      <c r="L623" t="s">
        <v>263</v>
      </c>
      <c r="M623">
        <f t="shared" si="63"/>
        <v>4212.4399999999996</v>
      </c>
      <c r="N623">
        <f t="shared" si="64"/>
        <v>6828.8760000000002</v>
      </c>
      <c r="O623">
        <f t="shared" si="65"/>
        <v>2616.4360000000006</v>
      </c>
      <c r="P623" s="2">
        <f t="shared" si="66"/>
        <v>0.3831429945425866</v>
      </c>
      <c r="Q623" t="str">
        <f t="shared" si="67"/>
        <v>Weekday</v>
      </c>
      <c r="R623" t="str">
        <f t="shared" si="68"/>
        <v>Feb</v>
      </c>
      <c r="S623">
        <f t="shared" si="69"/>
        <v>2024</v>
      </c>
    </row>
    <row r="624" spans="1:19" x14ac:dyDescent="0.25">
      <c r="A624">
        <v>100622</v>
      </c>
      <c r="B624" s="1">
        <v>45502</v>
      </c>
      <c r="C624" t="s">
        <v>29</v>
      </c>
      <c r="D624" t="s">
        <v>124</v>
      </c>
      <c r="E624" t="s">
        <v>256</v>
      </c>
      <c r="F624">
        <v>3</v>
      </c>
      <c r="G624">
        <v>637.04999999999995</v>
      </c>
      <c r="H624">
        <v>0</v>
      </c>
      <c r="I624" t="str">
        <f>IF(Sales[[#This Row],[Discount]]&lt;=10,"0-10%",IF(Sales[[#This Row],[Discount]]&lt;=20,"10-20%","20-30%"))</f>
        <v>0-10%</v>
      </c>
      <c r="J624">
        <v>333.11</v>
      </c>
      <c r="K624" t="s">
        <v>261</v>
      </c>
      <c r="L624" t="s">
        <v>266</v>
      </c>
      <c r="M624">
        <f t="shared" si="63"/>
        <v>999.33</v>
      </c>
      <c r="N624">
        <f t="shared" si="64"/>
        <v>1911.1499999999999</v>
      </c>
      <c r="O624">
        <f t="shared" si="65"/>
        <v>911.81999999999982</v>
      </c>
      <c r="P624" s="2">
        <f t="shared" si="66"/>
        <v>0.47710540773879595</v>
      </c>
      <c r="Q624" t="str">
        <f t="shared" si="67"/>
        <v>Weekday</v>
      </c>
      <c r="R624" t="str">
        <f t="shared" si="68"/>
        <v>Jul</v>
      </c>
      <c r="S624">
        <f t="shared" si="69"/>
        <v>2024</v>
      </c>
    </row>
    <row r="625" spans="1:19" x14ac:dyDescent="0.25">
      <c r="A625">
        <v>100623</v>
      </c>
      <c r="B625" s="1">
        <v>45130</v>
      </c>
      <c r="C625" t="s">
        <v>31</v>
      </c>
      <c r="D625" t="s">
        <v>239</v>
      </c>
      <c r="E625" t="s">
        <v>254</v>
      </c>
      <c r="F625">
        <v>4</v>
      </c>
      <c r="G625">
        <v>2013.59</v>
      </c>
      <c r="H625">
        <v>20</v>
      </c>
      <c r="I625" t="str">
        <f>IF(Sales[[#This Row],[Discount]]&lt;=10,"0-10%",IF(Sales[[#This Row],[Discount]]&lt;=20,"10-20%","20-30%"))</f>
        <v>10-20%</v>
      </c>
      <c r="J625">
        <v>937.06</v>
      </c>
      <c r="K625" t="s">
        <v>268</v>
      </c>
      <c r="L625" t="s">
        <v>267</v>
      </c>
      <c r="M625">
        <f t="shared" si="63"/>
        <v>3748.24</v>
      </c>
      <c r="N625">
        <f t="shared" si="64"/>
        <v>6443.4880000000003</v>
      </c>
      <c r="O625">
        <f t="shared" si="65"/>
        <v>2695.2480000000005</v>
      </c>
      <c r="P625" s="2">
        <f t="shared" si="66"/>
        <v>0.41829021796890137</v>
      </c>
      <c r="Q625" t="str">
        <f t="shared" si="67"/>
        <v>Weekend</v>
      </c>
      <c r="R625" t="str">
        <f t="shared" si="68"/>
        <v>Jul</v>
      </c>
      <c r="S625">
        <f t="shared" si="69"/>
        <v>2023</v>
      </c>
    </row>
    <row r="626" spans="1:19" x14ac:dyDescent="0.25">
      <c r="A626">
        <v>100624</v>
      </c>
      <c r="B626" s="1">
        <v>45302</v>
      </c>
      <c r="C626" t="s">
        <v>29</v>
      </c>
      <c r="D626" t="s">
        <v>62</v>
      </c>
      <c r="E626" t="s">
        <v>255</v>
      </c>
      <c r="F626">
        <v>3</v>
      </c>
      <c r="G626">
        <v>3534.89</v>
      </c>
      <c r="H626">
        <v>15</v>
      </c>
      <c r="I626" t="str">
        <f>IF(Sales[[#This Row],[Discount]]&lt;=10,"0-10%",IF(Sales[[#This Row],[Discount]]&lt;=20,"10-20%","20-30%"))</f>
        <v>10-20%</v>
      </c>
      <c r="J626">
        <v>1563.01</v>
      </c>
      <c r="K626" t="s">
        <v>261</v>
      </c>
      <c r="L626" t="s">
        <v>267</v>
      </c>
      <c r="M626">
        <f t="shared" si="63"/>
        <v>4689.03</v>
      </c>
      <c r="N626">
        <f t="shared" si="64"/>
        <v>9013.9694999999992</v>
      </c>
      <c r="O626">
        <f t="shared" si="65"/>
        <v>4324.9394999999995</v>
      </c>
      <c r="P626" s="2">
        <f t="shared" si="66"/>
        <v>0.47980409740680841</v>
      </c>
      <c r="Q626" t="str">
        <f t="shared" si="67"/>
        <v>Weekday</v>
      </c>
      <c r="R626" t="str">
        <f t="shared" si="68"/>
        <v>Jan</v>
      </c>
      <c r="S626">
        <f t="shared" si="69"/>
        <v>2024</v>
      </c>
    </row>
    <row r="627" spans="1:19" x14ac:dyDescent="0.25">
      <c r="A627">
        <v>100625</v>
      </c>
      <c r="B627" s="1">
        <v>45592</v>
      </c>
      <c r="C627" t="s">
        <v>44</v>
      </c>
      <c r="D627" t="s">
        <v>240</v>
      </c>
      <c r="E627" t="s">
        <v>260</v>
      </c>
      <c r="F627">
        <v>3</v>
      </c>
      <c r="G627">
        <v>2799.99</v>
      </c>
      <c r="H627">
        <v>25</v>
      </c>
      <c r="I627" t="str">
        <f>IF(Sales[[#This Row],[Discount]]&lt;=10,"0-10%",IF(Sales[[#This Row],[Discount]]&lt;=20,"10-20%","20-30%"))</f>
        <v>20-30%</v>
      </c>
      <c r="J627">
        <v>1234.06</v>
      </c>
      <c r="K627" t="s">
        <v>262</v>
      </c>
      <c r="L627" t="s">
        <v>264</v>
      </c>
      <c r="M627">
        <f t="shared" si="63"/>
        <v>3702.18</v>
      </c>
      <c r="N627">
        <f t="shared" si="64"/>
        <v>6299.9774999999991</v>
      </c>
      <c r="O627">
        <f t="shared" si="65"/>
        <v>2597.7974999999992</v>
      </c>
      <c r="P627" s="2">
        <f t="shared" si="66"/>
        <v>0.41235028220338876</v>
      </c>
      <c r="Q627" t="str">
        <f t="shared" si="67"/>
        <v>Weekend</v>
      </c>
      <c r="R627" t="str">
        <f t="shared" si="68"/>
        <v>Oct</v>
      </c>
      <c r="S627">
        <f t="shared" si="69"/>
        <v>2024</v>
      </c>
    </row>
    <row r="628" spans="1:19" x14ac:dyDescent="0.25">
      <c r="A628">
        <v>100626</v>
      </c>
      <c r="B628" s="1">
        <v>45160</v>
      </c>
      <c r="C628" t="s">
        <v>28</v>
      </c>
      <c r="D628" t="s">
        <v>68</v>
      </c>
      <c r="E628" t="s">
        <v>257</v>
      </c>
      <c r="F628">
        <v>2</v>
      </c>
      <c r="G628">
        <v>445.49</v>
      </c>
      <c r="H628">
        <v>10</v>
      </c>
      <c r="I628" t="str">
        <f>IF(Sales[[#This Row],[Discount]]&lt;=10,"0-10%",IF(Sales[[#This Row],[Discount]]&lt;=20,"10-20%","20-30%"))</f>
        <v>0-10%</v>
      </c>
      <c r="J628">
        <v>230.05</v>
      </c>
      <c r="K628" t="s">
        <v>268</v>
      </c>
      <c r="L628" t="s">
        <v>265</v>
      </c>
      <c r="M628">
        <f t="shared" si="63"/>
        <v>460.1</v>
      </c>
      <c r="N628">
        <f t="shared" si="64"/>
        <v>801.88200000000006</v>
      </c>
      <c r="O628">
        <f t="shared" si="65"/>
        <v>341.78200000000004</v>
      </c>
      <c r="P628" s="2">
        <f t="shared" si="66"/>
        <v>0.4262248061435473</v>
      </c>
      <c r="Q628" t="str">
        <f t="shared" si="67"/>
        <v>Weekday</v>
      </c>
      <c r="R628" t="str">
        <f t="shared" si="68"/>
        <v>Aug</v>
      </c>
      <c r="S628">
        <f t="shared" si="69"/>
        <v>2023</v>
      </c>
    </row>
    <row r="629" spans="1:19" x14ac:dyDescent="0.25">
      <c r="A629">
        <v>100627</v>
      </c>
      <c r="B629" s="1">
        <v>45171</v>
      </c>
      <c r="C629" t="s">
        <v>51</v>
      </c>
      <c r="D629" t="s">
        <v>251</v>
      </c>
      <c r="E629" t="s">
        <v>256</v>
      </c>
      <c r="F629">
        <v>2</v>
      </c>
      <c r="G629">
        <v>1772.07</v>
      </c>
      <c r="H629">
        <v>0</v>
      </c>
      <c r="I629" t="str">
        <f>IF(Sales[[#This Row],[Discount]]&lt;=10,"0-10%",IF(Sales[[#This Row],[Discount]]&lt;=20,"10-20%","20-30%"))</f>
        <v>0-10%</v>
      </c>
      <c r="J629">
        <v>787.01</v>
      </c>
      <c r="K629" t="s">
        <v>261</v>
      </c>
      <c r="L629" t="s">
        <v>266</v>
      </c>
      <c r="M629">
        <f t="shared" si="63"/>
        <v>1574.02</v>
      </c>
      <c r="N629">
        <f t="shared" si="64"/>
        <v>3544.14</v>
      </c>
      <c r="O629">
        <f t="shared" si="65"/>
        <v>1970.12</v>
      </c>
      <c r="P629" s="2">
        <f t="shared" si="66"/>
        <v>0.55588097535650394</v>
      </c>
      <c r="Q629" t="str">
        <f t="shared" si="67"/>
        <v>Weekend</v>
      </c>
      <c r="R629" t="str">
        <f t="shared" si="68"/>
        <v>Sep</v>
      </c>
      <c r="S629">
        <f t="shared" si="69"/>
        <v>2023</v>
      </c>
    </row>
    <row r="630" spans="1:19" x14ac:dyDescent="0.25">
      <c r="A630">
        <v>100628</v>
      </c>
      <c r="B630" s="1">
        <v>45096</v>
      </c>
      <c r="C630" t="s">
        <v>54</v>
      </c>
      <c r="D630" t="s">
        <v>80</v>
      </c>
      <c r="E630" t="s">
        <v>254</v>
      </c>
      <c r="F630">
        <v>2</v>
      </c>
      <c r="G630">
        <v>4530.3900000000003</v>
      </c>
      <c r="H630">
        <v>5</v>
      </c>
      <c r="I630" t="str">
        <f>IF(Sales[[#This Row],[Discount]]&lt;=10,"0-10%",IF(Sales[[#This Row],[Discount]]&lt;=20,"10-20%","20-30%"))</f>
        <v>0-10%</v>
      </c>
      <c r="J630">
        <v>1970</v>
      </c>
      <c r="K630" t="s">
        <v>261</v>
      </c>
      <c r="L630" t="s">
        <v>263</v>
      </c>
      <c r="M630">
        <f t="shared" si="63"/>
        <v>3940</v>
      </c>
      <c r="N630">
        <f t="shared" si="64"/>
        <v>8607.741</v>
      </c>
      <c r="O630">
        <f t="shared" si="65"/>
        <v>4667.741</v>
      </c>
      <c r="P630" s="2">
        <f t="shared" si="66"/>
        <v>0.54227247311460691</v>
      </c>
      <c r="Q630" t="str">
        <f t="shared" si="67"/>
        <v>Weekday</v>
      </c>
      <c r="R630" t="str">
        <f t="shared" si="68"/>
        <v>Jun</v>
      </c>
      <c r="S630">
        <f t="shared" si="69"/>
        <v>2023</v>
      </c>
    </row>
    <row r="631" spans="1:19" x14ac:dyDescent="0.25">
      <c r="A631">
        <v>100629</v>
      </c>
      <c r="B631" s="1">
        <v>45127</v>
      </c>
      <c r="C631" t="s">
        <v>38</v>
      </c>
      <c r="D631" t="s">
        <v>90</v>
      </c>
      <c r="E631" t="s">
        <v>258</v>
      </c>
      <c r="F631">
        <v>1</v>
      </c>
      <c r="G631">
        <v>2527.83</v>
      </c>
      <c r="H631">
        <v>20</v>
      </c>
      <c r="I631" t="str">
        <f>IF(Sales[[#This Row],[Discount]]&lt;=10,"0-10%",IF(Sales[[#This Row],[Discount]]&lt;=20,"10-20%","20-30%"))</f>
        <v>10-20%</v>
      </c>
      <c r="J631">
        <v>1347.94</v>
      </c>
      <c r="K631" t="s">
        <v>268</v>
      </c>
      <c r="L631" t="s">
        <v>263</v>
      </c>
      <c r="M631">
        <f t="shared" si="63"/>
        <v>1347.94</v>
      </c>
      <c r="N631">
        <f t="shared" si="64"/>
        <v>2022.2640000000001</v>
      </c>
      <c r="O631">
        <f t="shared" si="65"/>
        <v>674.32400000000007</v>
      </c>
      <c r="P631" s="2">
        <f t="shared" si="66"/>
        <v>0.33345003421907327</v>
      </c>
      <c r="Q631" t="str">
        <f t="shared" si="67"/>
        <v>Weekday</v>
      </c>
      <c r="R631" t="str">
        <f t="shared" si="68"/>
        <v>Jul</v>
      </c>
      <c r="S631">
        <f t="shared" si="69"/>
        <v>2023</v>
      </c>
    </row>
    <row r="632" spans="1:19" x14ac:dyDescent="0.25">
      <c r="A632">
        <v>100630</v>
      </c>
      <c r="B632" s="1">
        <v>45426</v>
      </c>
      <c r="C632" t="s">
        <v>21</v>
      </c>
      <c r="D632" t="s">
        <v>179</v>
      </c>
      <c r="E632" t="s">
        <v>259</v>
      </c>
      <c r="F632">
        <v>1</v>
      </c>
      <c r="G632">
        <v>1655.51</v>
      </c>
      <c r="H632">
        <v>30</v>
      </c>
      <c r="I632" t="str">
        <f>IF(Sales[[#This Row],[Discount]]&lt;=10,"0-10%",IF(Sales[[#This Row],[Discount]]&lt;=20,"10-20%","20-30%"))</f>
        <v>20-30%</v>
      </c>
      <c r="J632">
        <v>1139.55</v>
      </c>
      <c r="K632" t="s">
        <v>261</v>
      </c>
      <c r="L632" t="s">
        <v>264</v>
      </c>
      <c r="M632">
        <f t="shared" si="63"/>
        <v>1139.55</v>
      </c>
      <c r="N632">
        <f t="shared" si="64"/>
        <v>1158.857</v>
      </c>
      <c r="O632">
        <f t="shared" si="65"/>
        <v>19.307000000000016</v>
      </c>
      <c r="P632" s="2">
        <f t="shared" si="66"/>
        <v>1.6660381738212753E-2</v>
      </c>
      <c r="Q632" t="str">
        <f t="shared" si="67"/>
        <v>Weekday</v>
      </c>
      <c r="R632" t="str">
        <f t="shared" si="68"/>
        <v>May</v>
      </c>
      <c r="S632">
        <f t="shared" si="69"/>
        <v>2024</v>
      </c>
    </row>
    <row r="633" spans="1:19" x14ac:dyDescent="0.25">
      <c r="A633">
        <v>100631</v>
      </c>
      <c r="B633" s="1">
        <v>44995</v>
      </c>
      <c r="C633" t="s">
        <v>13</v>
      </c>
      <c r="D633" t="s">
        <v>176</v>
      </c>
      <c r="E633" t="s">
        <v>255</v>
      </c>
      <c r="F633">
        <v>1</v>
      </c>
      <c r="G633">
        <v>4862.49</v>
      </c>
      <c r="H633">
        <v>0</v>
      </c>
      <c r="I633" t="str">
        <f>IF(Sales[[#This Row],[Discount]]&lt;=10,"0-10%",IF(Sales[[#This Row],[Discount]]&lt;=20,"10-20%","20-30%"))</f>
        <v>0-10%</v>
      </c>
      <c r="J633">
        <v>3073.39</v>
      </c>
      <c r="K633" t="s">
        <v>268</v>
      </c>
      <c r="L633" t="s">
        <v>264</v>
      </c>
      <c r="M633">
        <f t="shared" si="63"/>
        <v>3073.39</v>
      </c>
      <c r="N633">
        <f t="shared" si="64"/>
        <v>4862.49</v>
      </c>
      <c r="O633">
        <f t="shared" si="65"/>
        <v>1789.1</v>
      </c>
      <c r="P633" s="2">
        <f t="shared" si="66"/>
        <v>0.36793906002891524</v>
      </c>
      <c r="Q633" t="str">
        <f t="shared" si="67"/>
        <v>Weekday</v>
      </c>
      <c r="R633" t="str">
        <f t="shared" si="68"/>
        <v>Mar</v>
      </c>
      <c r="S633">
        <f t="shared" si="69"/>
        <v>2023</v>
      </c>
    </row>
    <row r="634" spans="1:19" x14ac:dyDescent="0.25">
      <c r="A634">
        <v>100632</v>
      </c>
      <c r="B634" s="1">
        <v>45305</v>
      </c>
      <c r="C634" t="s">
        <v>27</v>
      </c>
      <c r="D634" t="s">
        <v>222</v>
      </c>
      <c r="E634" t="s">
        <v>259</v>
      </c>
      <c r="F634">
        <v>1</v>
      </c>
      <c r="G634">
        <v>2902.44</v>
      </c>
      <c r="H634">
        <v>30</v>
      </c>
      <c r="I634" t="str">
        <f>IF(Sales[[#This Row],[Discount]]&lt;=10,"0-10%",IF(Sales[[#This Row],[Discount]]&lt;=20,"10-20%","20-30%"))</f>
        <v>20-30%</v>
      </c>
      <c r="J634">
        <v>1632.66</v>
      </c>
      <c r="K634" t="s">
        <v>261</v>
      </c>
      <c r="L634" t="s">
        <v>264</v>
      </c>
      <c r="M634">
        <f t="shared" si="63"/>
        <v>1632.66</v>
      </c>
      <c r="N634">
        <f t="shared" si="64"/>
        <v>2031.7079999999999</v>
      </c>
      <c r="O634">
        <f t="shared" si="65"/>
        <v>399.04799999999977</v>
      </c>
      <c r="P634" s="2">
        <f t="shared" si="66"/>
        <v>0.19641011405182232</v>
      </c>
      <c r="Q634" t="str">
        <f t="shared" si="67"/>
        <v>Weekend</v>
      </c>
      <c r="R634" t="str">
        <f t="shared" si="68"/>
        <v>Jan</v>
      </c>
      <c r="S634">
        <f t="shared" si="69"/>
        <v>2024</v>
      </c>
    </row>
    <row r="635" spans="1:19" x14ac:dyDescent="0.25">
      <c r="A635">
        <v>100633</v>
      </c>
      <c r="B635" s="1">
        <v>45035</v>
      </c>
      <c r="C635" t="s">
        <v>24</v>
      </c>
      <c r="D635" t="s">
        <v>68</v>
      </c>
      <c r="E635" t="s">
        <v>257</v>
      </c>
      <c r="F635">
        <v>3</v>
      </c>
      <c r="G635">
        <v>1974.07</v>
      </c>
      <c r="H635">
        <v>5</v>
      </c>
      <c r="I635" t="str">
        <f>IF(Sales[[#This Row],[Discount]]&lt;=10,"0-10%",IF(Sales[[#This Row],[Discount]]&lt;=20,"10-20%","20-30%"))</f>
        <v>0-10%</v>
      </c>
      <c r="J635">
        <v>1279.29</v>
      </c>
      <c r="K635" t="s">
        <v>262</v>
      </c>
      <c r="L635" t="s">
        <v>266</v>
      </c>
      <c r="M635">
        <f t="shared" si="63"/>
        <v>3837.87</v>
      </c>
      <c r="N635">
        <f t="shared" si="64"/>
        <v>5626.0994999999994</v>
      </c>
      <c r="O635">
        <f t="shared" si="65"/>
        <v>1788.2294999999995</v>
      </c>
      <c r="P635" s="2">
        <f t="shared" si="66"/>
        <v>0.31784533849783492</v>
      </c>
      <c r="Q635" t="str">
        <f t="shared" si="67"/>
        <v>Weekday</v>
      </c>
      <c r="R635" t="str">
        <f t="shared" si="68"/>
        <v>Apr</v>
      </c>
      <c r="S635">
        <f t="shared" si="69"/>
        <v>2023</v>
      </c>
    </row>
    <row r="636" spans="1:19" x14ac:dyDescent="0.25">
      <c r="A636">
        <v>100634</v>
      </c>
      <c r="B636" s="1">
        <v>45459</v>
      </c>
      <c r="C636" t="s">
        <v>49</v>
      </c>
      <c r="D636" t="s">
        <v>72</v>
      </c>
      <c r="E636" t="s">
        <v>260</v>
      </c>
      <c r="F636">
        <v>2</v>
      </c>
      <c r="G636">
        <v>570.94000000000005</v>
      </c>
      <c r="H636">
        <v>10</v>
      </c>
      <c r="I636" t="str">
        <f>IF(Sales[[#This Row],[Discount]]&lt;=10,"0-10%",IF(Sales[[#This Row],[Discount]]&lt;=20,"10-20%","20-30%"))</f>
        <v>0-10%</v>
      </c>
      <c r="J636">
        <v>287.02999999999997</v>
      </c>
      <c r="K636" t="s">
        <v>262</v>
      </c>
      <c r="L636" t="s">
        <v>264</v>
      </c>
      <c r="M636">
        <f t="shared" si="63"/>
        <v>574.05999999999995</v>
      </c>
      <c r="N636">
        <f t="shared" si="64"/>
        <v>1027.6920000000002</v>
      </c>
      <c r="O636">
        <f t="shared" si="65"/>
        <v>453.63200000000029</v>
      </c>
      <c r="P636" s="2">
        <f t="shared" si="66"/>
        <v>0.44140851539177128</v>
      </c>
      <c r="Q636" t="str">
        <f t="shared" si="67"/>
        <v>Weekend</v>
      </c>
      <c r="R636" t="str">
        <f t="shared" si="68"/>
        <v>Jun</v>
      </c>
      <c r="S636">
        <f t="shared" si="69"/>
        <v>2024</v>
      </c>
    </row>
    <row r="637" spans="1:19" x14ac:dyDescent="0.25">
      <c r="A637">
        <v>100635</v>
      </c>
      <c r="B637" s="1">
        <v>45530</v>
      </c>
      <c r="C637" t="s">
        <v>17</v>
      </c>
      <c r="D637" t="s">
        <v>115</v>
      </c>
      <c r="E637" t="s">
        <v>258</v>
      </c>
      <c r="F637">
        <v>3</v>
      </c>
      <c r="G637">
        <v>2921.23</v>
      </c>
      <c r="H637">
        <v>30</v>
      </c>
      <c r="I637" t="str">
        <f>IF(Sales[[#This Row],[Discount]]&lt;=10,"0-10%",IF(Sales[[#This Row],[Discount]]&lt;=20,"10-20%","20-30%"))</f>
        <v>20-30%</v>
      </c>
      <c r="J637">
        <v>1472.83</v>
      </c>
      <c r="K637" t="s">
        <v>261</v>
      </c>
      <c r="L637" t="s">
        <v>265</v>
      </c>
      <c r="M637">
        <f t="shared" si="63"/>
        <v>4418.49</v>
      </c>
      <c r="N637">
        <f t="shared" si="64"/>
        <v>6134.5829999999996</v>
      </c>
      <c r="O637">
        <f t="shared" si="65"/>
        <v>1716.0929999999998</v>
      </c>
      <c r="P637" s="2">
        <f t="shared" si="66"/>
        <v>0.27974077455631458</v>
      </c>
      <c r="Q637" t="str">
        <f t="shared" si="67"/>
        <v>Weekday</v>
      </c>
      <c r="R637" t="str">
        <f t="shared" si="68"/>
        <v>Aug</v>
      </c>
      <c r="S637">
        <f t="shared" si="69"/>
        <v>2024</v>
      </c>
    </row>
    <row r="638" spans="1:19" x14ac:dyDescent="0.25">
      <c r="A638">
        <v>100636</v>
      </c>
      <c r="B638" s="1">
        <v>45065</v>
      </c>
      <c r="C638" t="s">
        <v>24</v>
      </c>
      <c r="D638" t="s">
        <v>190</v>
      </c>
      <c r="E638" t="s">
        <v>258</v>
      </c>
      <c r="F638">
        <v>4</v>
      </c>
      <c r="G638">
        <v>4998.6499999999996</v>
      </c>
      <c r="H638">
        <v>0</v>
      </c>
      <c r="I638" t="str">
        <f>IF(Sales[[#This Row],[Discount]]&lt;=10,"0-10%",IF(Sales[[#This Row],[Discount]]&lt;=20,"10-20%","20-30%"))</f>
        <v>0-10%</v>
      </c>
      <c r="J638">
        <v>2225.1799999999998</v>
      </c>
      <c r="K638" t="s">
        <v>262</v>
      </c>
      <c r="L638" t="s">
        <v>264</v>
      </c>
      <c r="M638">
        <f t="shared" si="63"/>
        <v>8900.7199999999993</v>
      </c>
      <c r="N638">
        <f t="shared" si="64"/>
        <v>19994.599999999999</v>
      </c>
      <c r="O638">
        <f t="shared" si="65"/>
        <v>11093.88</v>
      </c>
      <c r="P638" s="2">
        <f t="shared" si="66"/>
        <v>0.5548438078281136</v>
      </c>
      <c r="Q638" t="str">
        <f t="shared" si="67"/>
        <v>Weekday</v>
      </c>
      <c r="R638" t="str">
        <f t="shared" si="68"/>
        <v>May</v>
      </c>
      <c r="S638">
        <f t="shared" si="69"/>
        <v>2023</v>
      </c>
    </row>
    <row r="639" spans="1:19" x14ac:dyDescent="0.25">
      <c r="A639">
        <v>100637</v>
      </c>
      <c r="B639" s="1">
        <v>45030</v>
      </c>
      <c r="C639" t="s">
        <v>56</v>
      </c>
      <c r="D639" t="s">
        <v>133</v>
      </c>
      <c r="E639" t="s">
        <v>258</v>
      </c>
      <c r="F639">
        <v>1</v>
      </c>
      <c r="G639">
        <v>4971.09</v>
      </c>
      <c r="H639">
        <v>15</v>
      </c>
      <c r="I639" t="str">
        <f>IF(Sales[[#This Row],[Discount]]&lt;=10,"0-10%",IF(Sales[[#This Row],[Discount]]&lt;=20,"10-20%","20-30%"))</f>
        <v>10-20%</v>
      </c>
      <c r="J639">
        <v>3301.27</v>
      </c>
      <c r="K639" t="s">
        <v>261</v>
      </c>
      <c r="L639" t="s">
        <v>267</v>
      </c>
      <c r="M639">
        <f t="shared" si="63"/>
        <v>3301.27</v>
      </c>
      <c r="N639">
        <f t="shared" si="64"/>
        <v>4225.4264999999996</v>
      </c>
      <c r="O639">
        <f t="shared" si="65"/>
        <v>924.1564999999996</v>
      </c>
      <c r="P639" s="2">
        <f t="shared" si="66"/>
        <v>0.2187131878876605</v>
      </c>
      <c r="Q639" t="str">
        <f t="shared" si="67"/>
        <v>Weekday</v>
      </c>
      <c r="R639" t="str">
        <f t="shared" si="68"/>
        <v>Apr</v>
      </c>
      <c r="S639">
        <f t="shared" si="69"/>
        <v>2023</v>
      </c>
    </row>
    <row r="640" spans="1:19" x14ac:dyDescent="0.25">
      <c r="A640">
        <v>100638</v>
      </c>
      <c r="B640" s="1">
        <v>45446</v>
      </c>
      <c r="C640" t="s">
        <v>48</v>
      </c>
      <c r="D640" t="s">
        <v>84</v>
      </c>
      <c r="E640" t="s">
        <v>259</v>
      </c>
      <c r="F640">
        <v>2</v>
      </c>
      <c r="G640">
        <v>2468.79</v>
      </c>
      <c r="H640">
        <v>10</v>
      </c>
      <c r="I640" t="str">
        <f>IF(Sales[[#This Row],[Discount]]&lt;=10,"0-10%",IF(Sales[[#This Row],[Discount]]&lt;=20,"10-20%","20-30%"))</f>
        <v>0-10%</v>
      </c>
      <c r="J640">
        <v>1528.79</v>
      </c>
      <c r="K640" t="s">
        <v>261</v>
      </c>
      <c r="L640" t="s">
        <v>265</v>
      </c>
      <c r="M640">
        <f t="shared" si="63"/>
        <v>3057.58</v>
      </c>
      <c r="N640">
        <f t="shared" si="64"/>
        <v>4443.8220000000001</v>
      </c>
      <c r="O640">
        <f t="shared" si="65"/>
        <v>1386.2420000000002</v>
      </c>
      <c r="P640" s="2">
        <f t="shared" si="66"/>
        <v>0.31194813833677409</v>
      </c>
      <c r="Q640" t="str">
        <f t="shared" si="67"/>
        <v>Weekday</v>
      </c>
      <c r="R640" t="str">
        <f t="shared" si="68"/>
        <v>Jun</v>
      </c>
      <c r="S640">
        <f t="shared" si="69"/>
        <v>2024</v>
      </c>
    </row>
    <row r="641" spans="1:19" x14ac:dyDescent="0.25">
      <c r="A641">
        <v>100639</v>
      </c>
      <c r="B641" s="1">
        <v>45585</v>
      </c>
      <c r="C641" t="s">
        <v>54</v>
      </c>
      <c r="D641" t="s">
        <v>167</v>
      </c>
      <c r="E641" t="s">
        <v>259</v>
      </c>
      <c r="F641">
        <v>1</v>
      </c>
      <c r="G641">
        <v>2535.0700000000002</v>
      </c>
      <c r="H641">
        <v>20</v>
      </c>
      <c r="I641" t="str">
        <f>IF(Sales[[#This Row],[Discount]]&lt;=10,"0-10%",IF(Sales[[#This Row],[Discount]]&lt;=20,"10-20%","20-30%"))</f>
        <v>10-20%</v>
      </c>
      <c r="J641">
        <v>1427.01</v>
      </c>
      <c r="K641" t="s">
        <v>262</v>
      </c>
      <c r="L641" t="s">
        <v>263</v>
      </c>
      <c r="M641">
        <f t="shared" si="63"/>
        <v>1427.01</v>
      </c>
      <c r="N641">
        <f t="shared" si="64"/>
        <v>2028.0560000000003</v>
      </c>
      <c r="O641">
        <f t="shared" si="65"/>
        <v>601.04600000000028</v>
      </c>
      <c r="P641" s="2">
        <f t="shared" si="66"/>
        <v>0.29636558359335252</v>
      </c>
      <c r="Q641" t="str">
        <f t="shared" si="67"/>
        <v>Weekend</v>
      </c>
      <c r="R641" t="str">
        <f t="shared" si="68"/>
        <v>Oct</v>
      </c>
      <c r="S641">
        <f t="shared" si="69"/>
        <v>2024</v>
      </c>
    </row>
    <row r="642" spans="1:19" x14ac:dyDescent="0.25">
      <c r="A642">
        <v>100640</v>
      </c>
      <c r="B642" s="1">
        <v>45611</v>
      </c>
      <c r="C642" t="s">
        <v>58</v>
      </c>
      <c r="D642" t="s">
        <v>183</v>
      </c>
      <c r="E642" t="s">
        <v>258</v>
      </c>
      <c r="F642">
        <v>3</v>
      </c>
      <c r="G642">
        <v>4574.4399999999996</v>
      </c>
      <c r="H642">
        <v>25</v>
      </c>
      <c r="I642" t="str">
        <f>IF(Sales[[#This Row],[Discount]]&lt;=10,"0-10%",IF(Sales[[#This Row],[Discount]]&lt;=20,"10-20%","20-30%"))</f>
        <v>20-30%</v>
      </c>
      <c r="J642">
        <v>2820.8</v>
      </c>
      <c r="K642" t="s">
        <v>261</v>
      </c>
      <c r="L642" t="s">
        <v>263</v>
      </c>
      <c r="M642">
        <f t="shared" si="63"/>
        <v>8462.4000000000015</v>
      </c>
      <c r="N642">
        <f t="shared" si="64"/>
        <v>10292.49</v>
      </c>
      <c r="O642">
        <f t="shared" si="65"/>
        <v>1830.0899999999983</v>
      </c>
      <c r="P642" s="2">
        <f t="shared" si="66"/>
        <v>0.17780828545862065</v>
      </c>
      <c r="Q642" t="str">
        <f t="shared" si="67"/>
        <v>Weekday</v>
      </c>
      <c r="R642" t="str">
        <f t="shared" si="68"/>
        <v>Nov</v>
      </c>
      <c r="S642">
        <f t="shared" si="69"/>
        <v>2024</v>
      </c>
    </row>
    <row r="643" spans="1:19" x14ac:dyDescent="0.25">
      <c r="A643">
        <v>100641</v>
      </c>
      <c r="B643" s="1">
        <v>45413</v>
      </c>
      <c r="C643" t="s">
        <v>48</v>
      </c>
      <c r="D643" t="s">
        <v>182</v>
      </c>
      <c r="E643" t="s">
        <v>255</v>
      </c>
      <c r="F643">
        <v>4</v>
      </c>
      <c r="G643">
        <v>478.51</v>
      </c>
      <c r="H643">
        <v>0</v>
      </c>
      <c r="I643" t="str">
        <f>IF(Sales[[#This Row],[Discount]]&lt;=10,"0-10%",IF(Sales[[#This Row],[Discount]]&lt;=20,"10-20%","20-30%"))</f>
        <v>0-10%</v>
      </c>
      <c r="J643">
        <v>298.47000000000003</v>
      </c>
      <c r="K643" t="s">
        <v>262</v>
      </c>
      <c r="L643" t="s">
        <v>267</v>
      </c>
      <c r="M643">
        <f t="shared" ref="M643:M701" si="70">F643*J643</f>
        <v>1193.8800000000001</v>
      </c>
      <c r="N643">
        <f t="shared" ref="N643:N701" si="71">F643*G643*(1-H643/100)</f>
        <v>1914.04</v>
      </c>
      <c r="O643">
        <f t="shared" ref="O643:O701" si="72">N643-M643</f>
        <v>720.15999999999985</v>
      </c>
      <c r="P643" s="2">
        <f t="shared" ref="P643:P701" si="73">O643/N643</f>
        <v>0.37625128001504665</v>
      </c>
      <c r="Q643" t="str">
        <f t="shared" ref="Q643:Q701" si="74">IF(WEEKDAY(B643,2)&gt;5,"Weekend","Weekday")</f>
        <v>Weekday</v>
      </c>
      <c r="R643" t="str">
        <f t="shared" ref="R643:R701" si="75">TEXT(B643,"mmm")</f>
        <v>May</v>
      </c>
      <c r="S643">
        <f t="shared" ref="S643:S701" si="76">YEAR(B643)</f>
        <v>2024</v>
      </c>
    </row>
    <row r="644" spans="1:19" x14ac:dyDescent="0.25">
      <c r="A644">
        <v>100642</v>
      </c>
      <c r="B644" s="1">
        <v>45450</v>
      </c>
      <c r="C644" t="s">
        <v>29</v>
      </c>
      <c r="D644" t="s">
        <v>244</v>
      </c>
      <c r="E644" t="s">
        <v>259</v>
      </c>
      <c r="F644">
        <v>1</v>
      </c>
      <c r="G644">
        <v>3499.55</v>
      </c>
      <c r="H644">
        <v>0</v>
      </c>
      <c r="I644" t="str">
        <f>IF(Sales[[#This Row],[Discount]]&lt;=10,"0-10%",IF(Sales[[#This Row],[Discount]]&lt;=20,"10-20%","20-30%"))</f>
        <v>0-10%</v>
      </c>
      <c r="J644">
        <v>1889.88</v>
      </c>
      <c r="K644" t="s">
        <v>261</v>
      </c>
      <c r="L644" t="s">
        <v>265</v>
      </c>
      <c r="M644">
        <f t="shared" si="70"/>
        <v>1889.88</v>
      </c>
      <c r="N644">
        <f t="shared" si="71"/>
        <v>3499.55</v>
      </c>
      <c r="O644">
        <f t="shared" si="72"/>
        <v>1609.67</v>
      </c>
      <c r="P644" s="2">
        <f t="shared" si="73"/>
        <v>0.45996485262390879</v>
      </c>
      <c r="Q644" t="str">
        <f t="shared" si="74"/>
        <v>Weekday</v>
      </c>
      <c r="R644" t="str">
        <f t="shared" si="75"/>
        <v>Jun</v>
      </c>
      <c r="S644">
        <f t="shared" si="76"/>
        <v>2024</v>
      </c>
    </row>
    <row r="645" spans="1:19" x14ac:dyDescent="0.25">
      <c r="A645">
        <v>100643</v>
      </c>
      <c r="B645" s="1">
        <v>45546</v>
      </c>
      <c r="C645" t="s">
        <v>11</v>
      </c>
      <c r="D645" t="s">
        <v>81</v>
      </c>
      <c r="E645" t="s">
        <v>257</v>
      </c>
      <c r="F645">
        <v>1</v>
      </c>
      <c r="G645">
        <v>4760.83</v>
      </c>
      <c r="H645">
        <v>5</v>
      </c>
      <c r="I645" t="str">
        <f>IF(Sales[[#This Row],[Discount]]&lt;=10,"0-10%",IF(Sales[[#This Row],[Discount]]&lt;=20,"10-20%","20-30%"))</f>
        <v>0-10%</v>
      </c>
      <c r="J645">
        <v>2636.88</v>
      </c>
      <c r="K645" t="s">
        <v>261</v>
      </c>
      <c r="L645" t="s">
        <v>265</v>
      </c>
      <c r="M645">
        <f t="shared" si="70"/>
        <v>2636.88</v>
      </c>
      <c r="N645">
        <f t="shared" si="71"/>
        <v>4522.7884999999997</v>
      </c>
      <c r="O645">
        <f t="shared" si="72"/>
        <v>1885.9084999999995</v>
      </c>
      <c r="P645" s="2">
        <f t="shared" si="73"/>
        <v>0.41697914903604261</v>
      </c>
      <c r="Q645" t="str">
        <f t="shared" si="74"/>
        <v>Weekday</v>
      </c>
      <c r="R645" t="str">
        <f t="shared" si="75"/>
        <v>Sep</v>
      </c>
      <c r="S645">
        <f t="shared" si="76"/>
        <v>2024</v>
      </c>
    </row>
    <row r="646" spans="1:19" x14ac:dyDescent="0.25">
      <c r="A646">
        <v>100644</v>
      </c>
      <c r="B646" s="1">
        <v>45154</v>
      </c>
      <c r="C646" t="s">
        <v>31</v>
      </c>
      <c r="D646" t="s">
        <v>152</v>
      </c>
      <c r="E646" t="s">
        <v>256</v>
      </c>
      <c r="F646">
        <v>4</v>
      </c>
      <c r="G646">
        <v>2612.08</v>
      </c>
      <c r="H646">
        <v>10</v>
      </c>
      <c r="I646" t="str">
        <f>IF(Sales[[#This Row],[Discount]]&lt;=10,"0-10%",IF(Sales[[#This Row],[Discount]]&lt;=20,"10-20%","20-30%"))</f>
        <v>0-10%</v>
      </c>
      <c r="J646">
        <v>1281.8399999999999</v>
      </c>
      <c r="K646" t="s">
        <v>268</v>
      </c>
      <c r="L646" t="s">
        <v>263</v>
      </c>
      <c r="M646">
        <f t="shared" si="70"/>
        <v>5127.3599999999997</v>
      </c>
      <c r="N646">
        <f t="shared" si="71"/>
        <v>9403.4879999999994</v>
      </c>
      <c r="O646">
        <f t="shared" si="72"/>
        <v>4276.1279999999997</v>
      </c>
      <c r="P646" s="2">
        <f t="shared" si="73"/>
        <v>0.45473849703429198</v>
      </c>
      <c r="Q646" t="str">
        <f t="shared" si="74"/>
        <v>Weekday</v>
      </c>
      <c r="R646" t="str">
        <f t="shared" si="75"/>
        <v>Aug</v>
      </c>
      <c r="S646">
        <f t="shared" si="76"/>
        <v>2023</v>
      </c>
    </row>
    <row r="647" spans="1:19" x14ac:dyDescent="0.25">
      <c r="A647">
        <v>100645</v>
      </c>
      <c r="B647" s="1">
        <v>45325</v>
      </c>
      <c r="C647" t="s">
        <v>57</v>
      </c>
      <c r="D647" t="s">
        <v>240</v>
      </c>
      <c r="E647" t="s">
        <v>260</v>
      </c>
      <c r="F647">
        <v>3</v>
      </c>
      <c r="G647">
        <v>1255.1500000000001</v>
      </c>
      <c r="H647">
        <v>10</v>
      </c>
      <c r="I647" t="str">
        <f>IF(Sales[[#This Row],[Discount]]&lt;=10,"0-10%",IF(Sales[[#This Row],[Discount]]&lt;=20,"10-20%","20-30%"))</f>
        <v>0-10%</v>
      </c>
      <c r="J647">
        <v>788.91</v>
      </c>
      <c r="K647" t="s">
        <v>261</v>
      </c>
      <c r="L647" t="s">
        <v>267</v>
      </c>
      <c r="M647">
        <f t="shared" si="70"/>
        <v>2366.73</v>
      </c>
      <c r="N647">
        <f t="shared" si="71"/>
        <v>3388.9050000000002</v>
      </c>
      <c r="O647">
        <f t="shared" si="72"/>
        <v>1022.1750000000002</v>
      </c>
      <c r="P647" s="2">
        <f t="shared" si="73"/>
        <v>0.3016239758860163</v>
      </c>
      <c r="Q647" t="str">
        <f t="shared" si="74"/>
        <v>Weekend</v>
      </c>
      <c r="R647" t="str">
        <f t="shared" si="75"/>
        <v>Feb</v>
      </c>
      <c r="S647">
        <f t="shared" si="76"/>
        <v>2024</v>
      </c>
    </row>
    <row r="648" spans="1:19" x14ac:dyDescent="0.25">
      <c r="A648">
        <v>100646</v>
      </c>
      <c r="B648" s="1">
        <v>45391</v>
      </c>
      <c r="C648" t="s">
        <v>30</v>
      </c>
      <c r="D648" t="s">
        <v>190</v>
      </c>
      <c r="E648" t="s">
        <v>254</v>
      </c>
      <c r="F648">
        <v>3</v>
      </c>
      <c r="G648">
        <v>4618.05</v>
      </c>
      <c r="H648">
        <v>15</v>
      </c>
      <c r="I648" t="str">
        <f>IF(Sales[[#This Row],[Discount]]&lt;=10,"0-10%",IF(Sales[[#This Row],[Discount]]&lt;=20,"10-20%","20-30%"))</f>
        <v>10-20%</v>
      </c>
      <c r="J648">
        <v>2349.11</v>
      </c>
      <c r="K648" t="s">
        <v>262</v>
      </c>
      <c r="L648" t="s">
        <v>263</v>
      </c>
      <c r="M648">
        <f t="shared" si="70"/>
        <v>7047.33</v>
      </c>
      <c r="N648">
        <f t="shared" si="71"/>
        <v>11776.0275</v>
      </c>
      <c r="O648">
        <f t="shared" si="72"/>
        <v>4728.6975000000002</v>
      </c>
      <c r="P648" s="2">
        <f t="shared" si="73"/>
        <v>0.4015528581263928</v>
      </c>
      <c r="Q648" t="str">
        <f t="shared" si="74"/>
        <v>Weekday</v>
      </c>
      <c r="R648" t="str">
        <f t="shared" si="75"/>
        <v>Apr</v>
      </c>
      <c r="S648">
        <f t="shared" si="76"/>
        <v>2024</v>
      </c>
    </row>
    <row r="649" spans="1:19" x14ac:dyDescent="0.25">
      <c r="A649">
        <v>100647</v>
      </c>
      <c r="B649" s="1">
        <v>45613</v>
      </c>
      <c r="C649" t="s">
        <v>30</v>
      </c>
      <c r="D649" t="s">
        <v>250</v>
      </c>
      <c r="E649" t="s">
        <v>259</v>
      </c>
      <c r="F649">
        <v>1</v>
      </c>
      <c r="G649">
        <v>4909.47</v>
      </c>
      <c r="H649">
        <v>30</v>
      </c>
      <c r="I649" t="str">
        <f>IF(Sales[[#This Row],[Discount]]&lt;=10,"0-10%",IF(Sales[[#This Row],[Discount]]&lt;=20,"10-20%","20-30%"))</f>
        <v>20-30%</v>
      </c>
      <c r="J649">
        <v>2564.09</v>
      </c>
      <c r="K649" t="s">
        <v>268</v>
      </c>
      <c r="L649" t="s">
        <v>264</v>
      </c>
      <c r="M649">
        <f t="shared" si="70"/>
        <v>2564.09</v>
      </c>
      <c r="N649">
        <f t="shared" si="71"/>
        <v>3436.6289999999999</v>
      </c>
      <c r="O649">
        <f t="shared" si="72"/>
        <v>872.53899999999976</v>
      </c>
      <c r="P649" s="2">
        <f t="shared" si="73"/>
        <v>0.25389385936043718</v>
      </c>
      <c r="Q649" t="str">
        <f t="shared" si="74"/>
        <v>Weekend</v>
      </c>
      <c r="R649" t="str">
        <f t="shared" si="75"/>
        <v>Nov</v>
      </c>
      <c r="S649">
        <f t="shared" si="76"/>
        <v>2024</v>
      </c>
    </row>
    <row r="650" spans="1:19" x14ac:dyDescent="0.25">
      <c r="A650">
        <v>100648</v>
      </c>
      <c r="B650" s="1">
        <v>45255</v>
      </c>
      <c r="C650" t="s">
        <v>56</v>
      </c>
      <c r="D650" t="s">
        <v>175</v>
      </c>
      <c r="E650" t="s">
        <v>260</v>
      </c>
      <c r="F650">
        <v>3</v>
      </c>
      <c r="G650">
        <v>4793.42</v>
      </c>
      <c r="H650">
        <v>15</v>
      </c>
      <c r="I650" t="str">
        <f>IF(Sales[[#This Row],[Discount]]&lt;=10,"0-10%",IF(Sales[[#This Row],[Discount]]&lt;=20,"10-20%","20-30%"))</f>
        <v>10-20%</v>
      </c>
      <c r="J650">
        <v>2205.66</v>
      </c>
      <c r="K650" t="s">
        <v>261</v>
      </c>
      <c r="L650" t="s">
        <v>267</v>
      </c>
      <c r="M650">
        <f t="shared" si="70"/>
        <v>6616.98</v>
      </c>
      <c r="N650">
        <f t="shared" si="71"/>
        <v>12223.221</v>
      </c>
      <c r="O650">
        <f t="shared" si="72"/>
        <v>5606.241</v>
      </c>
      <c r="P650" s="2">
        <f t="shared" si="73"/>
        <v>0.45865496500472341</v>
      </c>
      <c r="Q650" t="str">
        <f t="shared" si="74"/>
        <v>Weekend</v>
      </c>
      <c r="R650" t="str">
        <f t="shared" si="75"/>
        <v>Nov</v>
      </c>
      <c r="S650">
        <f t="shared" si="76"/>
        <v>2023</v>
      </c>
    </row>
    <row r="651" spans="1:19" x14ac:dyDescent="0.25">
      <c r="A651">
        <v>100649</v>
      </c>
      <c r="B651" s="1">
        <v>45073</v>
      </c>
      <c r="C651" t="s">
        <v>51</v>
      </c>
      <c r="D651" t="s">
        <v>173</v>
      </c>
      <c r="E651" t="s">
        <v>256</v>
      </c>
      <c r="F651">
        <v>4</v>
      </c>
      <c r="G651">
        <v>314.89</v>
      </c>
      <c r="H651">
        <v>0</v>
      </c>
      <c r="I651" t="str">
        <f>IF(Sales[[#This Row],[Discount]]&lt;=10,"0-10%",IF(Sales[[#This Row],[Discount]]&lt;=20,"10-20%","20-30%"))</f>
        <v>0-10%</v>
      </c>
      <c r="J651">
        <v>186.43</v>
      </c>
      <c r="K651" t="s">
        <v>262</v>
      </c>
      <c r="L651" t="s">
        <v>266</v>
      </c>
      <c r="M651">
        <f t="shared" si="70"/>
        <v>745.72</v>
      </c>
      <c r="N651">
        <f t="shared" si="71"/>
        <v>1259.56</v>
      </c>
      <c r="O651">
        <f t="shared" si="72"/>
        <v>513.83999999999992</v>
      </c>
      <c r="P651" s="2">
        <f t="shared" si="73"/>
        <v>0.4079519832322398</v>
      </c>
      <c r="Q651" t="str">
        <f t="shared" si="74"/>
        <v>Weekend</v>
      </c>
      <c r="R651" t="str">
        <f t="shared" si="75"/>
        <v>May</v>
      </c>
      <c r="S651">
        <f t="shared" si="76"/>
        <v>2023</v>
      </c>
    </row>
    <row r="652" spans="1:19" x14ac:dyDescent="0.25">
      <c r="A652">
        <v>100650</v>
      </c>
      <c r="B652" s="1">
        <v>45420</v>
      </c>
      <c r="C652" t="s">
        <v>22</v>
      </c>
      <c r="D652" t="s">
        <v>61</v>
      </c>
      <c r="E652" t="s">
        <v>259</v>
      </c>
      <c r="F652">
        <v>2</v>
      </c>
      <c r="G652">
        <v>1503.42</v>
      </c>
      <c r="H652">
        <v>5</v>
      </c>
      <c r="I652" t="str">
        <f>IF(Sales[[#This Row],[Discount]]&lt;=10,"0-10%",IF(Sales[[#This Row],[Discount]]&lt;=20,"10-20%","20-30%"))</f>
        <v>0-10%</v>
      </c>
      <c r="J652">
        <v>615.26</v>
      </c>
      <c r="K652" t="s">
        <v>268</v>
      </c>
      <c r="L652" t="s">
        <v>263</v>
      </c>
      <c r="M652">
        <f t="shared" si="70"/>
        <v>1230.52</v>
      </c>
      <c r="N652">
        <f t="shared" si="71"/>
        <v>2856.498</v>
      </c>
      <c r="O652">
        <f t="shared" si="72"/>
        <v>1625.9780000000001</v>
      </c>
      <c r="P652" s="2">
        <f t="shared" si="73"/>
        <v>0.56922077312849506</v>
      </c>
      <c r="Q652" t="str">
        <f t="shared" si="74"/>
        <v>Weekday</v>
      </c>
      <c r="R652" t="str">
        <f t="shared" si="75"/>
        <v>May</v>
      </c>
      <c r="S652">
        <f t="shared" si="76"/>
        <v>2024</v>
      </c>
    </row>
    <row r="653" spans="1:19" x14ac:dyDescent="0.25">
      <c r="A653">
        <v>100651</v>
      </c>
      <c r="B653" s="1">
        <v>44948</v>
      </c>
      <c r="C653" t="s">
        <v>29</v>
      </c>
      <c r="D653" t="s">
        <v>206</v>
      </c>
      <c r="E653" t="s">
        <v>256</v>
      </c>
      <c r="F653">
        <v>3</v>
      </c>
      <c r="G653">
        <v>3749.94</v>
      </c>
      <c r="H653">
        <v>25</v>
      </c>
      <c r="I653" t="str">
        <f>IF(Sales[[#This Row],[Discount]]&lt;=10,"0-10%",IF(Sales[[#This Row],[Discount]]&lt;=20,"10-20%","20-30%"))</f>
        <v>20-30%</v>
      </c>
      <c r="J653">
        <v>2357.88</v>
      </c>
      <c r="K653" t="s">
        <v>261</v>
      </c>
      <c r="L653" t="s">
        <v>265</v>
      </c>
      <c r="M653">
        <f t="shared" si="70"/>
        <v>7073.64</v>
      </c>
      <c r="N653">
        <f t="shared" si="71"/>
        <v>8437.3649999999998</v>
      </c>
      <c r="O653">
        <f t="shared" si="72"/>
        <v>1363.7249999999995</v>
      </c>
      <c r="P653" s="2">
        <f t="shared" si="73"/>
        <v>0.16162925273471035</v>
      </c>
      <c r="Q653" t="str">
        <f t="shared" si="74"/>
        <v>Weekend</v>
      </c>
      <c r="R653" t="str">
        <f t="shared" si="75"/>
        <v>Jan</v>
      </c>
      <c r="S653">
        <f t="shared" si="76"/>
        <v>2023</v>
      </c>
    </row>
    <row r="654" spans="1:19" x14ac:dyDescent="0.25">
      <c r="A654">
        <v>100652</v>
      </c>
      <c r="B654" s="1">
        <v>45246</v>
      </c>
      <c r="C654" t="s">
        <v>23</v>
      </c>
      <c r="D654" t="s">
        <v>142</v>
      </c>
      <c r="E654" t="s">
        <v>257</v>
      </c>
      <c r="F654">
        <v>2</v>
      </c>
      <c r="G654">
        <v>3696.72</v>
      </c>
      <c r="H654">
        <v>20</v>
      </c>
      <c r="I654" t="str">
        <f>IF(Sales[[#This Row],[Discount]]&lt;=10,"0-10%",IF(Sales[[#This Row],[Discount]]&lt;=20,"10-20%","20-30%"))</f>
        <v>10-20%</v>
      </c>
      <c r="J654">
        <v>2246.7199999999998</v>
      </c>
      <c r="K654" t="s">
        <v>261</v>
      </c>
      <c r="L654" t="s">
        <v>264</v>
      </c>
      <c r="M654">
        <f t="shared" si="70"/>
        <v>4493.4399999999996</v>
      </c>
      <c r="N654">
        <f t="shared" si="71"/>
        <v>5914.7520000000004</v>
      </c>
      <c r="O654">
        <f t="shared" si="72"/>
        <v>1421.3120000000008</v>
      </c>
      <c r="P654" s="2">
        <f t="shared" si="73"/>
        <v>0.24029950875370612</v>
      </c>
      <c r="Q654" t="str">
        <f t="shared" si="74"/>
        <v>Weekday</v>
      </c>
      <c r="R654" t="str">
        <f t="shared" si="75"/>
        <v>Nov</v>
      </c>
      <c r="S654">
        <f t="shared" si="76"/>
        <v>2023</v>
      </c>
    </row>
    <row r="655" spans="1:19" x14ac:dyDescent="0.25">
      <c r="A655">
        <v>100653</v>
      </c>
      <c r="B655" s="1">
        <v>45590</v>
      </c>
      <c r="C655" t="s">
        <v>20</v>
      </c>
      <c r="D655" t="s">
        <v>174</v>
      </c>
      <c r="E655" t="s">
        <v>255</v>
      </c>
      <c r="F655">
        <v>1</v>
      </c>
      <c r="G655">
        <v>1985.96</v>
      </c>
      <c r="H655">
        <v>25</v>
      </c>
      <c r="I655" t="str">
        <f>IF(Sales[[#This Row],[Discount]]&lt;=10,"0-10%",IF(Sales[[#This Row],[Discount]]&lt;=20,"10-20%","20-30%"))</f>
        <v>20-30%</v>
      </c>
      <c r="J655">
        <v>1273.6600000000001</v>
      </c>
      <c r="K655" t="s">
        <v>268</v>
      </c>
      <c r="L655" t="s">
        <v>267</v>
      </c>
      <c r="M655">
        <f t="shared" si="70"/>
        <v>1273.6600000000001</v>
      </c>
      <c r="N655">
        <f t="shared" si="71"/>
        <v>1489.47</v>
      </c>
      <c r="O655">
        <f t="shared" si="72"/>
        <v>215.80999999999995</v>
      </c>
      <c r="P655" s="2">
        <f t="shared" si="73"/>
        <v>0.14489046439337477</v>
      </c>
      <c r="Q655" t="str">
        <f t="shared" si="74"/>
        <v>Weekday</v>
      </c>
      <c r="R655" t="str">
        <f t="shared" si="75"/>
        <v>Oct</v>
      </c>
      <c r="S655">
        <f t="shared" si="76"/>
        <v>2024</v>
      </c>
    </row>
    <row r="656" spans="1:19" x14ac:dyDescent="0.25">
      <c r="A656">
        <v>100654</v>
      </c>
      <c r="B656" s="1">
        <v>45089</v>
      </c>
      <c r="C656" t="s">
        <v>48</v>
      </c>
      <c r="D656" t="s">
        <v>192</v>
      </c>
      <c r="E656" t="s">
        <v>258</v>
      </c>
      <c r="F656">
        <v>4</v>
      </c>
      <c r="G656">
        <v>2784.32</v>
      </c>
      <c r="H656">
        <v>5</v>
      </c>
      <c r="I656" t="str">
        <f>IF(Sales[[#This Row],[Discount]]&lt;=10,"0-10%",IF(Sales[[#This Row],[Discount]]&lt;=20,"10-20%","20-30%"))</f>
        <v>0-10%</v>
      </c>
      <c r="J656">
        <v>1776.45</v>
      </c>
      <c r="K656" t="s">
        <v>261</v>
      </c>
      <c r="L656" t="s">
        <v>264</v>
      </c>
      <c r="M656">
        <f t="shared" si="70"/>
        <v>7105.8</v>
      </c>
      <c r="N656">
        <f t="shared" si="71"/>
        <v>10580.415999999999</v>
      </c>
      <c r="O656">
        <f t="shared" si="72"/>
        <v>3474.6159999999991</v>
      </c>
      <c r="P656" s="2">
        <f t="shared" si="73"/>
        <v>0.32840069804438687</v>
      </c>
      <c r="Q656" t="str">
        <f t="shared" si="74"/>
        <v>Weekday</v>
      </c>
      <c r="R656" t="str">
        <f t="shared" si="75"/>
        <v>Jun</v>
      </c>
      <c r="S656">
        <f t="shared" si="76"/>
        <v>2023</v>
      </c>
    </row>
    <row r="657" spans="1:19" x14ac:dyDescent="0.25">
      <c r="A657">
        <v>100655</v>
      </c>
      <c r="B657" s="1">
        <v>45253</v>
      </c>
      <c r="C657" t="s">
        <v>28</v>
      </c>
      <c r="D657" t="s">
        <v>251</v>
      </c>
      <c r="E657" t="s">
        <v>254</v>
      </c>
      <c r="F657">
        <v>2</v>
      </c>
      <c r="G657">
        <v>3481.06</v>
      </c>
      <c r="H657">
        <v>10</v>
      </c>
      <c r="I657" t="str">
        <f>IF(Sales[[#This Row],[Discount]]&lt;=10,"0-10%",IF(Sales[[#This Row],[Discount]]&lt;=20,"10-20%","20-30%"))</f>
        <v>0-10%</v>
      </c>
      <c r="J657">
        <v>2257.61</v>
      </c>
      <c r="K657" t="s">
        <v>261</v>
      </c>
      <c r="L657" t="s">
        <v>264</v>
      </c>
      <c r="M657">
        <f t="shared" si="70"/>
        <v>4515.22</v>
      </c>
      <c r="N657">
        <f t="shared" si="71"/>
        <v>6265.9080000000004</v>
      </c>
      <c r="O657">
        <f t="shared" si="72"/>
        <v>1750.6880000000001</v>
      </c>
      <c r="P657" s="2">
        <f t="shared" si="73"/>
        <v>0.27939893148766309</v>
      </c>
      <c r="Q657" t="str">
        <f t="shared" si="74"/>
        <v>Weekday</v>
      </c>
      <c r="R657" t="str">
        <f t="shared" si="75"/>
        <v>Nov</v>
      </c>
      <c r="S657">
        <f t="shared" si="76"/>
        <v>2023</v>
      </c>
    </row>
    <row r="658" spans="1:19" x14ac:dyDescent="0.25">
      <c r="A658">
        <v>100656</v>
      </c>
      <c r="B658" s="1">
        <v>45475</v>
      </c>
      <c r="C658" t="s">
        <v>28</v>
      </c>
      <c r="D658" t="s">
        <v>249</v>
      </c>
      <c r="E658" t="s">
        <v>256</v>
      </c>
      <c r="F658">
        <v>3</v>
      </c>
      <c r="G658">
        <v>507.56</v>
      </c>
      <c r="H658">
        <v>5</v>
      </c>
      <c r="I658" t="str">
        <f>IF(Sales[[#This Row],[Discount]]&lt;=10,"0-10%",IF(Sales[[#This Row],[Discount]]&lt;=20,"10-20%","20-30%"))</f>
        <v>0-10%</v>
      </c>
      <c r="J658">
        <v>255.07</v>
      </c>
      <c r="K658" t="s">
        <v>261</v>
      </c>
      <c r="L658" t="s">
        <v>265</v>
      </c>
      <c r="M658">
        <f t="shared" si="70"/>
        <v>765.21</v>
      </c>
      <c r="N658">
        <f t="shared" si="71"/>
        <v>1446.546</v>
      </c>
      <c r="O658">
        <f t="shared" si="72"/>
        <v>681.33600000000001</v>
      </c>
      <c r="P658" s="2">
        <f t="shared" si="73"/>
        <v>0.47100887216860021</v>
      </c>
      <c r="Q658" t="str">
        <f t="shared" si="74"/>
        <v>Weekday</v>
      </c>
      <c r="R658" t="str">
        <f t="shared" si="75"/>
        <v>Jul</v>
      </c>
      <c r="S658">
        <f t="shared" si="76"/>
        <v>2024</v>
      </c>
    </row>
    <row r="659" spans="1:19" x14ac:dyDescent="0.25">
      <c r="A659">
        <v>100657</v>
      </c>
      <c r="B659" s="1">
        <v>45114</v>
      </c>
      <c r="C659" t="s">
        <v>58</v>
      </c>
      <c r="D659" t="s">
        <v>85</v>
      </c>
      <c r="E659" t="s">
        <v>259</v>
      </c>
      <c r="F659">
        <v>3</v>
      </c>
      <c r="G659">
        <v>971.4</v>
      </c>
      <c r="H659">
        <v>15</v>
      </c>
      <c r="I659" t="str">
        <f>IF(Sales[[#This Row],[Discount]]&lt;=10,"0-10%",IF(Sales[[#This Row],[Discount]]&lt;=20,"10-20%","20-30%"))</f>
        <v>10-20%</v>
      </c>
      <c r="J659">
        <v>608.12</v>
      </c>
      <c r="K659" t="s">
        <v>262</v>
      </c>
      <c r="L659" t="s">
        <v>266</v>
      </c>
      <c r="M659">
        <f t="shared" si="70"/>
        <v>1824.3600000000001</v>
      </c>
      <c r="N659">
        <f t="shared" si="71"/>
        <v>2477.0699999999997</v>
      </c>
      <c r="O659">
        <f t="shared" si="72"/>
        <v>652.70999999999958</v>
      </c>
      <c r="P659" s="2">
        <f t="shared" si="73"/>
        <v>0.2635008296091752</v>
      </c>
      <c r="Q659" t="str">
        <f t="shared" si="74"/>
        <v>Weekday</v>
      </c>
      <c r="R659" t="str">
        <f t="shared" si="75"/>
        <v>Jul</v>
      </c>
      <c r="S659">
        <f t="shared" si="76"/>
        <v>2023</v>
      </c>
    </row>
    <row r="660" spans="1:19" x14ac:dyDescent="0.25">
      <c r="A660">
        <v>100658</v>
      </c>
      <c r="B660" s="1">
        <v>45120</v>
      </c>
      <c r="C660" t="s">
        <v>36</v>
      </c>
      <c r="D660" t="s">
        <v>115</v>
      </c>
      <c r="E660" t="s">
        <v>255</v>
      </c>
      <c r="F660">
        <v>1</v>
      </c>
      <c r="G660">
        <v>3900.74</v>
      </c>
      <c r="H660">
        <v>10</v>
      </c>
      <c r="I660" t="str">
        <f>IF(Sales[[#This Row],[Discount]]&lt;=10,"0-10%",IF(Sales[[#This Row],[Discount]]&lt;=20,"10-20%","20-30%"))</f>
        <v>0-10%</v>
      </c>
      <c r="J660">
        <v>2550.21</v>
      </c>
      <c r="K660" t="s">
        <v>261</v>
      </c>
      <c r="L660" t="s">
        <v>264</v>
      </c>
      <c r="M660">
        <f t="shared" si="70"/>
        <v>2550.21</v>
      </c>
      <c r="N660">
        <f t="shared" si="71"/>
        <v>3510.6659999999997</v>
      </c>
      <c r="O660">
        <f t="shared" si="72"/>
        <v>960.45599999999968</v>
      </c>
      <c r="P660" s="2">
        <f t="shared" si="73"/>
        <v>0.27358227755075526</v>
      </c>
      <c r="Q660" t="str">
        <f t="shared" si="74"/>
        <v>Weekday</v>
      </c>
      <c r="R660" t="str">
        <f t="shared" si="75"/>
        <v>Jul</v>
      </c>
      <c r="S660">
        <f t="shared" si="76"/>
        <v>2023</v>
      </c>
    </row>
    <row r="661" spans="1:19" x14ac:dyDescent="0.25">
      <c r="A661">
        <v>100659</v>
      </c>
      <c r="B661" s="1">
        <v>45310</v>
      </c>
      <c r="C661" t="s">
        <v>22</v>
      </c>
      <c r="D661" t="s">
        <v>250</v>
      </c>
      <c r="E661" t="s">
        <v>255</v>
      </c>
      <c r="F661">
        <v>4</v>
      </c>
      <c r="G661">
        <v>2175.77</v>
      </c>
      <c r="H661">
        <v>10</v>
      </c>
      <c r="I661" t="str">
        <f>IF(Sales[[#This Row],[Discount]]&lt;=10,"0-10%",IF(Sales[[#This Row],[Discount]]&lt;=20,"10-20%","20-30%"))</f>
        <v>0-10%</v>
      </c>
      <c r="J661">
        <v>1342.33</v>
      </c>
      <c r="K661" t="s">
        <v>261</v>
      </c>
      <c r="L661" t="s">
        <v>263</v>
      </c>
      <c r="M661">
        <f t="shared" si="70"/>
        <v>5369.32</v>
      </c>
      <c r="N661">
        <f t="shared" si="71"/>
        <v>7832.7719999999999</v>
      </c>
      <c r="O661">
        <f t="shared" si="72"/>
        <v>2463.4520000000002</v>
      </c>
      <c r="P661" s="2">
        <f t="shared" si="73"/>
        <v>0.31450577139229896</v>
      </c>
      <c r="Q661" t="str">
        <f t="shared" si="74"/>
        <v>Weekday</v>
      </c>
      <c r="R661" t="str">
        <f t="shared" si="75"/>
        <v>Jan</v>
      </c>
      <c r="S661">
        <f t="shared" si="76"/>
        <v>2024</v>
      </c>
    </row>
    <row r="662" spans="1:19" x14ac:dyDescent="0.25">
      <c r="A662">
        <v>100660</v>
      </c>
      <c r="B662" s="1">
        <v>45510</v>
      </c>
      <c r="C662" t="s">
        <v>33</v>
      </c>
      <c r="D662" t="s">
        <v>207</v>
      </c>
      <c r="E662" t="s">
        <v>260</v>
      </c>
      <c r="F662">
        <v>2</v>
      </c>
      <c r="G662">
        <v>415.14</v>
      </c>
      <c r="H662">
        <v>0</v>
      </c>
      <c r="I662" t="str">
        <f>IF(Sales[[#This Row],[Discount]]&lt;=10,"0-10%",IF(Sales[[#This Row],[Discount]]&lt;=20,"10-20%","20-30%"))</f>
        <v>0-10%</v>
      </c>
      <c r="J662">
        <v>204.18</v>
      </c>
      <c r="K662" t="s">
        <v>268</v>
      </c>
      <c r="L662" t="s">
        <v>263</v>
      </c>
      <c r="M662">
        <f t="shared" si="70"/>
        <v>408.36</v>
      </c>
      <c r="N662">
        <f t="shared" si="71"/>
        <v>830.28</v>
      </c>
      <c r="O662">
        <f t="shared" si="72"/>
        <v>421.91999999999996</v>
      </c>
      <c r="P662" s="2">
        <f t="shared" si="73"/>
        <v>0.50816591993062576</v>
      </c>
      <c r="Q662" t="str">
        <f t="shared" si="74"/>
        <v>Weekday</v>
      </c>
      <c r="R662" t="str">
        <f t="shared" si="75"/>
        <v>Aug</v>
      </c>
      <c r="S662">
        <f t="shared" si="76"/>
        <v>2024</v>
      </c>
    </row>
    <row r="663" spans="1:19" x14ac:dyDescent="0.25">
      <c r="A663">
        <v>100661</v>
      </c>
      <c r="B663" s="1">
        <v>45216</v>
      </c>
      <c r="C663" t="s">
        <v>42</v>
      </c>
      <c r="D663" t="s">
        <v>141</v>
      </c>
      <c r="E663" t="s">
        <v>258</v>
      </c>
      <c r="F663">
        <v>2</v>
      </c>
      <c r="G663">
        <v>4098.71</v>
      </c>
      <c r="H663">
        <v>10</v>
      </c>
      <c r="I663" t="str">
        <f>IF(Sales[[#This Row],[Discount]]&lt;=10,"0-10%",IF(Sales[[#This Row],[Discount]]&lt;=20,"10-20%","20-30%"))</f>
        <v>0-10%</v>
      </c>
      <c r="J663">
        <v>2804.77</v>
      </c>
      <c r="K663" t="s">
        <v>262</v>
      </c>
      <c r="L663" t="s">
        <v>263</v>
      </c>
      <c r="M663">
        <f t="shared" si="70"/>
        <v>5609.54</v>
      </c>
      <c r="N663">
        <f t="shared" si="71"/>
        <v>7377.6779999999999</v>
      </c>
      <c r="O663">
        <f t="shared" si="72"/>
        <v>1768.1379999999999</v>
      </c>
      <c r="P663" s="2">
        <f t="shared" si="73"/>
        <v>0.23966050022784946</v>
      </c>
      <c r="Q663" t="str">
        <f t="shared" si="74"/>
        <v>Weekday</v>
      </c>
      <c r="R663" t="str">
        <f t="shared" si="75"/>
        <v>Oct</v>
      </c>
      <c r="S663">
        <f t="shared" si="76"/>
        <v>2023</v>
      </c>
    </row>
    <row r="664" spans="1:19" x14ac:dyDescent="0.25">
      <c r="A664">
        <v>100662</v>
      </c>
      <c r="B664" s="1">
        <v>44992</v>
      </c>
      <c r="C664" t="s">
        <v>56</v>
      </c>
      <c r="D664" t="s">
        <v>247</v>
      </c>
      <c r="E664" t="s">
        <v>260</v>
      </c>
      <c r="F664">
        <v>1</v>
      </c>
      <c r="G664">
        <v>774.42</v>
      </c>
      <c r="H664">
        <v>25</v>
      </c>
      <c r="I664" t="str">
        <f>IF(Sales[[#This Row],[Discount]]&lt;=10,"0-10%",IF(Sales[[#This Row],[Discount]]&lt;=20,"10-20%","20-30%"))</f>
        <v>20-30%</v>
      </c>
      <c r="J664">
        <v>511.65</v>
      </c>
      <c r="K664" t="s">
        <v>262</v>
      </c>
      <c r="L664" t="s">
        <v>266</v>
      </c>
      <c r="M664">
        <f t="shared" si="70"/>
        <v>511.65</v>
      </c>
      <c r="N664">
        <f t="shared" si="71"/>
        <v>580.81499999999994</v>
      </c>
      <c r="O664">
        <f t="shared" si="72"/>
        <v>69.164999999999964</v>
      </c>
      <c r="P664" s="2">
        <f t="shared" si="73"/>
        <v>0.11908266831951649</v>
      </c>
      <c r="Q664" t="str">
        <f t="shared" si="74"/>
        <v>Weekday</v>
      </c>
      <c r="R664" t="str">
        <f t="shared" si="75"/>
        <v>Mar</v>
      </c>
      <c r="S664">
        <f t="shared" si="76"/>
        <v>2023</v>
      </c>
    </row>
    <row r="665" spans="1:19" x14ac:dyDescent="0.25">
      <c r="A665">
        <v>100663</v>
      </c>
      <c r="B665" s="1">
        <v>45582</v>
      </c>
      <c r="C665" t="s">
        <v>42</v>
      </c>
      <c r="D665" t="s">
        <v>152</v>
      </c>
      <c r="E665" t="s">
        <v>256</v>
      </c>
      <c r="F665">
        <v>1</v>
      </c>
      <c r="G665">
        <v>2652.93</v>
      </c>
      <c r="H665">
        <v>0</v>
      </c>
      <c r="I665" t="str">
        <f>IF(Sales[[#This Row],[Discount]]&lt;=10,"0-10%",IF(Sales[[#This Row],[Discount]]&lt;=20,"10-20%","20-30%"))</f>
        <v>0-10%</v>
      </c>
      <c r="J665">
        <v>1693.51</v>
      </c>
      <c r="K665" t="s">
        <v>262</v>
      </c>
      <c r="L665" t="s">
        <v>267</v>
      </c>
      <c r="M665">
        <f t="shared" si="70"/>
        <v>1693.51</v>
      </c>
      <c r="N665">
        <f t="shared" si="71"/>
        <v>2652.93</v>
      </c>
      <c r="O665">
        <f t="shared" si="72"/>
        <v>959.41999999999985</v>
      </c>
      <c r="P665" s="2">
        <f t="shared" si="73"/>
        <v>0.361645426000686</v>
      </c>
      <c r="Q665" t="str">
        <f t="shared" si="74"/>
        <v>Weekday</v>
      </c>
      <c r="R665" t="str">
        <f t="shared" si="75"/>
        <v>Oct</v>
      </c>
      <c r="S665">
        <f t="shared" si="76"/>
        <v>2024</v>
      </c>
    </row>
    <row r="666" spans="1:19" x14ac:dyDescent="0.25">
      <c r="A666">
        <v>100664</v>
      </c>
      <c r="B666" s="1">
        <v>45110</v>
      </c>
      <c r="C666" t="s">
        <v>54</v>
      </c>
      <c r="D666" t="s">
        <v>166</v>
      </c>
      <c r="E666" t="s">
        <v>254</v>
      </c>
      <c r="F666">
        <v>4</v>
      </c>
      <c r="G666">
        <v>982.42</v>
      </c>
      <c r="H666">
        <v>0</v>
      </c>
      <c r="I666" t="str">
        <f>IF(Sales[[#This Row],[Discount]]&lt;=10,"0-10%",IF(Sales[[#This Row],[Discount]]&lt;=20,"10-20%","20-30%"))</f>
        <v>0-10%</v>
      </c>
      <c r="J666">
        <v>602.26</v>
      </c>
      <c r="K666" t="s">
        <v>261</v>
      </c>
      <c r="L666" t="s">
        <v>267</v>
      </c>
      <c r="M666">
        <f t="shared" si="70"/>
        <v>2409.04</v>
      </c>
      <c r="N666">
        <f t="shared" si="71"/>
        <v>3929.68</v>
      </c>
      <c r="O666">
        <f t="shared" si="72"/>
        <v>1520.6399999999999</v>
      </c>
      <c r="P666" s="2">
        <f t="shared" si="73"/>
        <v>0.38696280613179695</v>
      </c>
      <c r="Q666" t="str">
        <f t="shared" si="74"/>
        <v>Weekday</v>
      </c>
      <c r="R666" t="str">
        <f t="shared" si="75"/>
        <v>Jul</v>
      </c>
      <c r="S666">
        <f t="shared" si="76"/>
        <v>2023</v>
      </c>
    </row>
    <row r="667" spans="1:19" x14ac:dyDescent="0.25">
      <c r="A667">
        <v>100665</v>
      </c>
      <c r="B667" s="1">
        <v>45141</v>
      </c>
      <c r="C667" t="s">
        <v>42</v>
      </c>
      <c r="D667" t="s">
        <v>248</v>
      </c>
      <c r="E667" t="s">
        <v>256</v>
      </c>
      <c r="F667">
        <v>3</v>
      </c>
      <c r="G667">
        <v>1392.21</v>
      </c>
      <c r="H667">
        <v>0</v>
      </c>
      <c r="I667" t="str">
        <f>IF(Sales[[#This Row],[Discount]]&lt;=10,"0-10%",IF(Sales[[#This Row],[Discount]]&lt;=20,"10-20%","20-30%"))</f>
        <v>0-10%</v>
      </c>
      <c r="J667">
        <v>674.25</v>
      </c>
      <c r="K667" t="s">
        <v>262</v>
      </c>
      <c r="L667" t="s">
        <v>264</v>
      </c>
      <c r="M667">
        <f t="shared" si="70"/>
        <v>2022.75</v>
      </c>
      <c r="N667">
        <f t="shared" si="71"/>
        <v>4176.63</v>
      </c>
      <c r="O667">
        <f t="shared" si="72"/>
        <v>2153.88</v>
      </c>
      <c r="P667" s="2">
        <f t="shared" si="73"/>
        <v>0.51569806279225117</v>
      </c>
      <c r="Q667" t="str">
        <f t="shared" si="74"/>
        <v>Weekday</v>
      </c>
      <c r="R667" t="str">
        <f t="shared" si="75"/>
        <v>Aug</v>
      </c>
      <c r="S667">
        <f t="shared" si="76"/>
        <v>2023</v>
      </c>
    </row>
    <row r="668" spans="1:19" x14ac:dyDescent="0.25">
      <c r="A668">
        <v>100666</v>
      </c>
      <c r="B668" s="1">
        <v>45157</v>
      </c>
      <c r="C668" t="s">
        <v>17</v>
      </c>
      <c r="D668" t="s">
        <v>63</v>
      </c>
      <c r="E668" t="s">
        <v>256</v>
      </c>
      <c r="F668">
        <v>2</v>
      </c>
      <c r="G668">
        <v>1550.99</v>
      </c>
      <c r="H668">
        <v>0</v>
      </c>
      <c r="I668" t="str">
        <f>IF(Sales[[#This Row],[Discount]]&lt;=10,"0-10%",IF(Sales[[#This Row],[Discount]]&lt;=20,"10-20%","20-30%"))</f>
        <v>0-10%</v>
      </c>
      <c r="J668">
        <v>630.65</v>
      </c>
      <c r="K668" t="s">
        <v>261</v>
      </c>
      <c r="L668" t="s">
        <v>265</v>
      </c>
      <c r="M668">
        <f t="shared" si="70"/>
        <v>1261.3</v>
      </c>
      <c r="N668">
        <f t="shared" si="71"/>
        <v>3101.98</v>
      </c>
      <c r="O668">
        <f t="shared" si="72"/>
        <v>1840.68</v>
      </c>
      <c r="P668" s="2">
        <f t="shared" si="73"/>
        <v>0.59338873880553711</v>
      </c>
      <c r="Q668" t="str">
        <f t="shared" si="74"/>
        <v>Weekend</v>
      </c>
      <c r="R668" t="str">
        <f t="shared" si="75"/>
        <v>Aug</v>
      </c>
      <c r="S668">
        <f t="shared" si="76"/>
        <v>2023</v>
      </c>
    </row>
    <row r="669" spans="1:19" x14ac:dyDescent="0.25">
      <c r="A669">
        <v>100667</v>
      </c>
      <c r="B669" s="1">
        <v>45363</v>
      </c>
      <c r="C669" t="s">
        <v>16</v>
      </c>
      <c r="D669" t="s">
        <v>112</v>
      </c>
      <c r="E669" t="s">
        <v>260</v>
      </c>
      <c r="F669">
        <v>3</v>
      </c>
      <c r="G669">
        <v>1362.34</v>
      </c>
      <c r="H669">
        <v>20</v>
      </c>
      <c r="I669" t="str">
        <f>IF(Sales[[#This Row],[Discount]]&lt;=10,"0-10%",IF(Sales[[#This Row],[Discount]]&lt;=20,"10-20%","20-30%"))</f>
        <v>10-20%</v>
      </c>
      <c r="J669">
        <v>806.7</v>
      </c>
      <c r="K669" t="s">
        <v>261</v>
      </c>
      <c r="L669" t="s">
        <v>263</v>
      </c>
      <c r="M669">
        <f t="shared" si="70"/>
        <v>2420.1000000000004</v>
      </c>
      <c r="N669">
        <f t="shared" si="71"/>
        <v>3269.616</v>
      </c>
      <c r="O669">
        <f t="shared" si="72"/>
        <v>849.51599999999962</v>
      </c>
      <c r="P669" s="2">
        <f t="shared" si="73"/>
        <v>0.25982133681753444</v>
      </c>
      <c r="Q669" t="str">
        <f t="shared" si="74"/>
        <v>Weekday</v>
      </c>
      <c r="R669" t="str">
        <f t="shared" si="75"/>
        <v>Mar</v>
      </c>
      <c r="S669">
        <f t="shared" si="76"/>
        <v>2024</v>
      </c>
    </row>
    <row r="670" spans="1:19" x14ac:dyDescent="0.25">
      <c r="A670">
        <v>100668</v>
      </c>
      <c r="B670" s="1">
        <v>45207</v>
      </c>
      <c r="C670" t="s">
        <v>22</v>
      </c>
      <c r="D670" t="s">
        <v>169</v>
      </c>
      <c r="E670" t="s">
        <v>254</v>
      </c>
      <c r="F670">
        <v>1</v>
      </c>
      <c r="G670">
        <v>1308.75</v>
      </c>
      <c r="H670">
        <v>0</v>
      </c>
      <c r="I670" t="str">
        <f>IF(Sales[[#This Row],[Discount]]&lt;=10,"0-10%",IF(Sales[[#This Row],[Discount]]&lt;=20,"10-20%","20-30%"))</f>
        <v>0-10%</v>
      </c>
      <c r="J670">
        <v>686.88</v>
      </c>
      <c r="K670" t="s">
        <v>261</v>
      </c>
      <c r="L670" t="s">
        <v>264</v>
      </c>
      <c r="M670">
        <f t="shared" si="70"/>
        <v>686.88</v>
      </c>
      <c r="N670">
        <f t="shared" si="71"/>
        <v>1308.75</v>
      </c>
      <c r="O670">
        <f t="shared" si="72"/>
        <v>621.87</v>
      </c>
      <c r="P670" s="2">
        <f t="shared" si="73"/>
        <v>0.47516332378223497</v>
      </c>
      <c r="Q670" t="str">
        <f t="shared" si="74"/>
        <v>Weekend</v>
      </c>
      <c r="R670" t="str">
        <f t="shared" si="75"/>
        <v>Oct</v>
      </c>
      <c r="S670">
        <f t="shared" si="76"/>
        <v>2023</v>
      </c>
    </row>
    <row r="671" spans="1:19" x14ac:dyDescent="0.25">
      <c r="A671">
        <v>100669</v>
      </c>
      <c r="B671" s="1">
        <v>45000</v>
      </c>
      <c r="C671" t="s">
        <v>22</v>
      </c>
      <c r="D671" t="s">
        <v>228</v>
      </c>
      <c r="E671" t="s">
        <v>259</v>
      </c>
      <c r="F671">
        <v>1</v>
      </c>
      <c r="G671">
        <v>3683.02</v>
      </c>
      <c r="H671">
        <v>5</v>
      </c>
      <c r="I671" t="str">
        <f>IF(Sales[[#This Row],[Discount]]&lt;=10,"0-10%",IF(Sales[[#This Row],[Discount]]&lt;=20,"10-20%","20-30%"))</f>
        <v>0-10%</v>
      </c>
      <c r="J671">
        <v>2431.09</v>
      </c>
      <c r="K671" t="s">
        <v>261</v>
      </c>
      <c r="L671" t="s">
        <v>264</v>
      </c>
      <c r="M671">
        <f t="shared" si="70"/>
        <v>2431.09</v>
      </c>
      <c r="N671">
        <f t="shared" si="71"/>
        <v>3498.8689999999997</v>
      </c>
      <c r="O671">
        <f t="shared" si="72"/>
        <v>1067.7789999999995</v>
      </c>
      <c r="P671" s="2">
        <f t="shared" si="73"/>
        <v>0.30517833048336468</v>
      </c>
      <c r="Q671" t="str">
        <f t="shared" si="74"/>
        <v>Weekday</v>
      </c>
      <c r="R671" t="str">
        <f t="shared" si="75"/>
        <v>Mar</v>
      </c>
      <c r="S671">
        <f t="shared" si="76"/>
        <v>2023</v>
      </c>
    </row>
    <row r="672" spans="1:19" x14ac:dyDescent="0.25">
      <c r="A672">
        <v>100670</v>
      </c>
      <c r="B672" s="1">
        <v>45086</v>
      </c>
      <c r="C672" t="s">
        <v>27</v>
      </c>
      <c r="D672" t="s">
        <v>131</v>
      </c>
      <c r="E672" t="s">
        <v>257</v>
      </c>
      <c r="F672">
        <v>4</v>
      </c>
      <c r="G672">
        <v>3236.48</v>
      </c>
      <c r="H672">
        <v>25</v>
      </c>
      <c r="I672" t="str">
        <f>IF(Sales[[#This Row],[Discount]]&lt;=10,"0-10%",IF(Sales[[#This Row],[Discount]]&lt;=20,"10-20%","20-30%"))</f>
        <v>20-30%</v>
      </c>
      <c r="J672">
        <v>1364.28</v>
      </c>
      <c r="K672" t="s">
        <v>262</v>
      </c>
      <c r="L672" t="s">
        <v>267</v>
      </c>
      <c r="M672">
        <f t="shared" si="70"/>
        <v>5457.12</v>
      </c>
      <c r="N672">
        <f t="shared" si="71"/>
        <v>9709.44</v>
      </c>
      <c r="O672">
        <f t="shared" si="72"/>
        <v>4252.3200000000006</v>
      </c>
      <c r="P672" s="2">
        <f t="shared" si="73"/>
        <v>0.43795728692900932</v>
      </c>
      <c r="Q672" t="str">
        <f t="shared" si="74"/>
        <v>Weekday</v>
      </c>
      <c r="R672" t="str">
        <f t="shared" si="75"/>
        <v>Jun</v>
      </c>
      <c r="S672">
        <f t="shared" si="76"/>
        <v>2023</v>
      </c>
    </row>
    <row r="673" spans="1:19" x14ac:dyDescent="0.25">
      <c r="A673">
        <v>100671</v>
      </c>
      <c r="B673" s="1">
        <v>44979</v>
      </c>
      <c r="C673" t="s">
        <v>35</v>
      </c>
      <c r="D673" t="s">
        <v>133</v>
      </c>
      <c r="E673" t="s">
        <v>259</v>
      </c>
      <c r="F673">
        <v>2</v>
      </c>
      <c r="G673">
        <v>2476.91</v>
      </c>
      <c r="H673">
        <v>15</v>
      </c>
      <c r="I673" t="str">
        <f>IF(Sales[[#This Row],[Discount]]&lt;=10,"0-10%",IF(Sales[[#This Row],[Discount]]&lt;=20,"10-20%","20-30%"))</f>
        <v>10-20%</v>
      </c>
      <c r="J673">
        <v>1165.1300000000001</v>
      </c>
      <c r="K673" t="s">
        <v>268</v>
      </c>
      <c r="L673" t="s">
        <v>263</v>
      </c>
      <c r="M673">
        <f t="shared" si="70"/>
        <v>2330.2600000000002</v>
      </c>
      <c r="N673">
        <f t="shared" si="71"/>
        <v>4210.7469999999994</v>
      </c>
      <c r="O673">
        <f t="shared" si="72"/>
        <v>1880.4869999999992</v>
      </c>
      <c r="P673" s="2">
        <f t="shared" si="73"/>
        <v>0.44659225548340936</v>
      </c>
      <c r="Q673" t="str">
        <f t="shared" si="74"/>
        <v>Weekday</v>
      </c>
      <c r="R673" t="str">
        <f t="shared" si="75"/>
        <v>Feb</v>
      </c>
      <c r="S673">
        <f t="shared" si="76"/>
        <v>2023</v>
      </c>
    </row>
    <row r="674" spans="1:19" x14ac:dyDescent="0.25">
      <c r="A674">
        <v>100672</v>
      </c>
      <c r="B674" s="1">
        <v>45131</v>
      </c>
      <c r="C674" t="s">
        <v>47</v>
      </c>
      <c r="D674" t="s">
        <v>196</v>
      </c>
      <c r="E674" t="s">
        <v>255</v>
      </c>
      <c r="F674">
        <v>3</v>
      </c>
      <c r="G674">
        <v>2896.75</v>
      </c>
      <c r="H674">
        <v>20</v>
      </c>
      <c r="I674" t="str">
        <f>IF(Sales[[#This Row],[Discount]]&lt;=10,"0-10%",IF(Sales[[#This Row],[Discount]]&lt;=20,"10-20%","20-30%"))</f>
        <v>10-20%</v>
      </c>
      <c r="J674">
        <v>1610.74</v>
      </c>
      <c r="K674" t="s">
        <v>261</v>
      </c>
      <c r="L674" t="s">
        <v>266</v>
      </c>
      <c r="M674">
        <f t="shared" si="70"/>
        <v>4832.22</v>
      </c>
      <c r="N674">
        <f t="shared" si="71"/>
        <v>6952.2000000000007</v>
      </c>
      <c r="O674">
        <f t="shared" si="72"/>
        <v>2119.9800000000005</v>
      </c>
      <c r="P674" s="2">
        <f t="shared" si="73"/>
        <v>0.3049365668421507</v>
      </c>
      <c r="Q674" t="str">
        <f t="shared" si="74"/>
        <v>Weekday</v>
      </c>
      <c r="R674" t="str">
        <f t="shared" si="75"/>
        <v>Jul</v>
      </c>
      <c r="S674">
        <f t="shared" si="76"/>
        <v>2023</v>
      </c>
    </row>
    <row r="675" spans="1:19" x14ac:dyDescent="0.25">
      <c r="A675">
        <v>100673</v>
      </c>
      <c r="B675" s="1">
        <v>45216</v>
      </c>
      <c r="C675" t="s">
        <v>56</v>
      </c>
      <c r="D675" t="s">
        <v>242</v>
      </c>
      <c r="E675" t="s">
        <v>257</v>
      </c>
      <c r="F675">
        <v>3</v>
      </c>
      <c r="G675">
        <v>3687.08</v>
      </c>
      <c r="H675">
        <v>5</v>
      </c>
      <c r="I675" t="str">
        <f>IF(Sales[[#This Row],[Discount]]&lt;=10,"0-10%",IF(Sales[[#This Row],[Discount]]&lt;=20,"10-20%","20-30%"))</f>
        <v>0-10%</v>
      </c>
      <c r="J675">
        <v>1918.88</v>
      </c>
      <c r="K675" t="s">
        <v>262</v>
      </c>
      <c r="L675" t="s">
        <v>263</v>
      </c>
      <c r="M675">
        <f t="shared" si="70"/>
        <v>5756.64</v>
      </c>
      <c r="N675">
        <f t="shared" si="71"/>
        <v>10508.178</v>
      </c>
      <c r="O675">
        <f t="shared" si="72"/>
        <v>4751.5379999999996</v>
      </c>
      <c r="P675" s="2">
        <f t="shared" si="73"/>
        <v>0.45217524864919489</v>
      </c>
      <c r="Q675" t="str">
        <f t="shared" si="74"/>
        <v>Weekday</v>
      </c>
      <c r="R675" t="str">
        <f t="shared" si="75"/>
        <v>Oct</v>
      </c>
      <c r="S675">
        <f t="shared" si="76"/>
        <v>2023</v>
      </c>
    </row>
    <row r="676" spans="1:19" x14ac:dyDescent="0.25">
      <c r="A676">
        <v>100674</v>
      </c>
      <c r="B676" s="1">
        <v>45642</v>
      </c>
      <c r="C676" t="s">
        <v>31</v>
      </c>
      <c r="D676" t="s">
        <v>220</v>
      </c>
      <c r="E676" t="s">
        <v>260</v>
      </c>
      <c r="F676">
        <v>4</v>
      </c>
      <c r="G676">
        <v>3258.92</v>
      </c>
      <c r="H676">
        <v>15</v>
      </c>
      <c r="I676" t="str">
        <f>IF(Sales[[#This Row],[Discount]]&lt;=10,"0-10%",IF(Sales[[#This Row],[Discount]]&lt;=20,"10-20%","20-30%"))</f>
        <v>10-20%</v>
      </c>
      <c r="J676">
        <v>1356.69</v>
      </c>
      <c r="K676" t="s">
        <v>268</v>
      </c>
      <c r="L676" t="s">
        <v>266</v>
      </c>
      <c r="M676">
        <f t="shared" si="70"/>
        <v>5426.76</v>
      </c>
      <c r="N676">
        <f t="shared" si="71"/>
        <v>11080.328</v>
      </c>
      <c r="O676">
        <f t="shared" si="72"/>
        <v>5653.5679999999993</v>
      </c>
      <c r="P676" s="2">
        <f t="shared" si="73"/>
        <v>0.51023471507341656</v>
      </c>
      <c r="Q676" t="str">
        <f t="shared" si="74"/>
        <v>Weekday</v>
      </c>
      <c r="R676" t="str">
        <f t="shared" si="75"/>
        <v>Dec</v>
      </c>
      <c r="S676">
        <f t="shared" si="76"/>
        <v>2024</v>
      </c>
    </row>
    <row r="677" spans="1:19" x14ac:dyDescent="0.25">
      <c r="A677">
        <v>100675</v>
      </c>
      <c r="B677" s="1">
        <v>45080</v>
      </c>
      <c r="C677" t="s">
        <v>25</v>
      </c>
      <c r="D677" t="s">
        <v>252</v>
      </c>
      <c r="E677" t="s">
        <v>260</v>
      </c>
      <c r="F677">
        <v>3</v>
      </c>
      <c r="G677">
        <v>782.92</v>
      </c>
      <c r="H677">
        <v>30</v>
      </c>
      <c r="I677" t="str">
        <f>IF(Sales[[#This Row],[Discount]]&lt;=10,"0-10%",IF(Sales[[#This Row],[Discount]]&lt;=20,"10-20%","20-30%"))</f>
        <v>20-30%</v>
      </c>
      <c r="J677">
        <v>357.57</v>
      </c>
      <c r="K677" t="s">
        <v>262</v>
      </c>
      <c r="L677" t="s">
        <v>263</v>
      </c>
      <c r="M677">
        <f t="shared" si="70"/>
        <v>1072.71</v>
      </c>
      <c r="N677">
        <f t="shared" si="71"/>
        <v>1644.1319999999998</v>
      </c>
      <c r="O677">
        <f t="shared" si="72"/>
        <v>571.4219999999998</v>
      </c>
      <c r="P677" s="2">
        <f t="shared" si="73"/>
        <v>0.34755238630474916</v>
      </c>
      <c r="Q677" t="str">
        <f t="shared" si="74"/>
        <v>Weekend</v>
      </c>
      <c r="R677" t="str">
        <f t="shared" si="75"/>
        <v>Jun</v>
      </c>
      <c r="S677">
        <f t="shared" si="76"/>
        <v>2023</v>
      </c>
    </row>
    <row r="678" spans="1:19" x14ac:dyDescent="0.25">
      <c r="A678">
        <v>100676</v>
      </c>
      <c r="B678" s="1">
        <v>45014</v>
      </c>
      <c r="C678" t="s">
        <v>41</v>
      </c>
      <c r="D678" t="s">
        <v>238</v>
      </c>
      <c r="E678" t="s">
        <v>260</v>
      </c>
      <c r="F678">
        <v>4</v>
      </c>
      <c r="G678">
        <v>3089.38</v>
      </c>
      <c r="H678">
        <v>15</v>
      </c>
      <c r="I678" t="str">
        <f>IF(Sales[[#This Row],[Discount]]&lt;=10,"0-10%",IF(Sales[[#This Row],[Discount]]&lt;=20,"10-20%","20-30%"))</f>
        <v>10-20%</v>
      </c>
      <c r="J678">
        <v>2065.92</v>
      </c>
      <c r="K678" t="s">
        <v>261</v>
      </c>
      <c r="L678" t="s">
        <v>264</v>
      </c>
      <c r="M678">
        <f t="shared" si="70"/>
        <v>8263.68</v>
      </c>
      <c r="N678">
        <f t="shared" si="71"/>
        <v>10503.892</v>
      </c>
      <c r="O678">
        <f t="shared" si="72"/>
        <v>2240.2119999999995</v>
      </c>
      <c r="P678" s="2">
        <f t="shared" si="73"/>
        <v>0.21327447007261685</v>
      </c>
      <c r="Q678" t="str">
        <f t="shared" si="74"/>
        <v>Weekday</v>
      </c>
      <c r="R678" t="str">
        <f t="shared" si="75"/>
        <v>Mar</v>
      </c>
      <c r="S678">
        <f t="shared" si="76"/>
        <v>2023</v>
      </c>
    </row>
    <row r="679" spans="1:19" x14ac:dyDescent="0.25">
      <c r="A679">
        <v>100677</v>
      </c>
      <c r="B679" s="1">
        <v>45083</v>
      </c>
      <c r="C679" t="s">
        <v>20</v>
      </c>
      <c r="D679" t="s">
        <v>224</v>
      </c>
      <c r="E679" t="s">
        <v>260</v>
      </c>
      <c r="F679">
        <v>4</v>
      </c>
      <c r="G679">
        <v>317.95</v>
      </c>
      <c r="H679">
        <v>20</v>
      </c>
      <c r="I679" t="str">
        <f>IF(Sales[[#This Row],[Discount]]&lt;=10,"0-10%",IF(Sales[[#This Row],[Discount]]&lt;=20,"10-20%","20-30%"))</f>
        <v>10-20%</v>
      </c>
      <c r="J679">
        <v>150.72</v>
      </c>
      <c r="K679" t="s">
        <v>262</v>
      </c>
      <c r="L679" t="s">
        <v>266</v>
      </c>
      <c r="M679">
        <f t="shared" si="70"/>
        <v>602.88</v>
      </c>
      <c r="N679">
        <f t="shared" si="71"/>
        <v>1017.44</v>
      </c>
      <c r="O679">
        <f t="shared" si="72"/>
        <v>414.56000000000006</v>
      </c>
      <c r="P679" s="2">
        <f t="shared" si="73"/>
        <v>0.40745400220160405</v>
      </c>
      <c r="Q679" t="str">
        <f t="shared" si="74"/>
        <v>Weekday</v>
      </c>
      <c r="R679" t="str">
        <f t="shared" si="75"/>
        <v>Jun</v>
      </c>
      <c r="S679">
        <f t="shared" si="76"/>
        <v>2023</v>
      </c>
    </row>
    <row r="680" spans="1:19" x14ac:dyDescent="0.25">
      <c r="A680">
        <v>100678</v>
      </c>
      <c r="B680" s="1">
        <v>45063</v>
      </c>
      <c r="C680" t="s">
        <v>59</v>
      </c>
      <c r="D680" t="s">
        <v>240</v>
      </c>
      <c r="E680" t="s">
        <v>260</v>
      </c>
      <c r="F680">
        <v>3</v>
      </c>
      <c r="G680">
        <v>4185.5600000000004</v>
      </c>
      <c r="H680">
        <v>20</v>
      </c>
      <c r="I680" t="str">
        <f>IF(Sales[[#This Row],[Discount]]&lt;=10,"0-10%",IF(Sales[[#This Row],[Discount]]&lt;=20,"10-20%","20-30%"))</f>
        <v>10-20%</v>
      </c>
      <c r="J680">
        <v>1837.37</v>
      </c>
      <c r="K680" t="s">
        <v>261</v>
      </c>
      <c r="L680" t="s">
        <v>264</v>
      </c>
      <c r="M680">
        <f t="shared" si="70"/>
        <v>5512.11</v>
      </c>
      <c r="N680">
        <f t="shared" si="71"/>
        <v>10045.344000000001</v>
      </c>
      <c r="O680">
        <f t="shared" si="72"/>
        <v>4533.2340000000013</v>
      </c>
      <c r="P680" s="2">
        <f t="shared" si="73"/>
        <v>0.45127712898632449</v>
      </c>
      <c r="Q680" t="str">
        <f t="shared" si="74"/>
        <v>Weekday</v>
      </c>
      <c r="R680" t="str">
        <f t="shared" si="75"/>
        <v>May</v>
      </c>
      <c r="S680">
        <f t="shared" si="76"/>
        <v>2023</v>
      </c>
    </row>
    <row r="681" spans="1:19" x14ac:dyDescent="0.25">
      <c r="A681">
        <v>100679</v>
      </c>
      <c r="B681" s="1">
        <v>45067</v>
      </c>
      <c r="C681" t="s">
        <v>12</v>
      </c>
      <c r="D681" t="s">
        <v>153</v>
      </c>
      <c r="E681" t="s">
        <v>257</v>
      </c>
      <c r="F681">
        <v>2</v>
      </c>
      <c r="G681">
        <v>1772.74</v>
      </c>
      <c r="H681">
        <v>5</v>
      </c>
      <c r="I681" t="str">
        <f>IF(Sales[[#This Row],[Discount]]&lt;=10,"0-10%",IF(Sales[[#This Row],[Discount]]&lt;=20,"10-20%","20-30%"))</f>
        <v>0-10%</v>
      </c>
      <c r="J681">
        <v>1128.67</v>
      </c>
      <c r="K681" t="s">
        <v>261</v>
      </c>
      <c r="L681" t="s">
        <v>265</v>
      </c>
      <c r="M681">
        <f t="shared" si="70"/>
        <v>2257.34</v>
      </c>
      <c r="N681">
        <f t="shared" si="71"/>
        <v>3368.2059999999997</v>
      </c>
      <c r="O681">
        <f t="shared" si="72"/>
        <v>1110.8659999999995</v>
      </c>
      <c r="P681" s="2">
        <f t="shared" si="73"/>
        <v>0.32980940001888237</v>
      </c>
      <c r="Q681" t="str">
        <f t="shared" si="74"/>
        <v>Weekend</v>
      </c>
      <c r="R681" t="str">
        <f t="shared" si="75"/>
        <v>May</v>
      </c>
      <c r="S681">
        <f t="shared" si="76"/>
        <v>2023</v>
      </c>
    </row>
    <row r="682" spans="1:19" x14ac:dyDescent="0.25">
      <c r="A682">
        <v>100680</v>
      </c>
      <c r="B682" s="1">
        <v>45617</v>
      </c>
      <c r="C682" t="s">
        <v>49</v>
      </c>
      <c r="D682" t="s">
        <v>176</v>
      </c>
      <c r="E682" t="s">
        <v>256</v>
      </c>
      <c r="F682">
        <v>1</v>
      </c>
      <c r="G682">
        <v>2073.37</v>
      </c>
      <c r="H682">
        <v>20</v>
      </c>
      <c r="I682" t="str">
        <f>IF(Sales[[#This Row],[Discount]]&lt;=10,"0-10%",IF(Sales[[#This Row],[Discount]]&lt;=20,"10-20%","20-30%"))</f>
        <v>10-20%</v>
      </c>
      <c r="J682">
        <v>1411.75</v>
      </c>
      <c r="K682" t="s">
        <v>268</v>
      </c>
      <c r="L682" t="s">
        <v>263</v>
      </c>
      <c r="M682">
        <f t="shared" si="70"/>
        <v>1411.75</v>
      </c>
      <c r="N682">
        <f t="shared" si="71"/>
        <v>1658.6959999999999</v>
      </c>
      <c r="O682">
        <f t="shared" si="72"/>
        <v>246.94599999999991</v>
      </c>
      <c r="P682" s="2">
        <f t="shared" si="73"/>
        <v>0.14887960180768503</v>
      </c>
      <c r="Q682" t="str">
        <f t="shared" si="74"/>
        <v>Weekday</v>
      </c>
      <c r="R682" t="str">
        <f t="shared" si="75"/>
        <v>Nov</v>
      </c>
      <c r="S682">
        <f t="shared" si="76"/>
        <v>2024</v>
      </c>
    </row>
    <row r="683" spans="1:19" x14ac:dyDescent="0.25">
      <c r="A683">
        <v>100681</v>
      </c>
      <c r="B683" s="1">
        <v>45655</v>
      </c>
      <c r="C683" t="s">
        <v>37</v>
      </c>
      <c r="D683" t="s">
        <v>248</v>
      </c>
      <c r="E683" t="s">
        <v>254</v>
      </c>
      <c r="F683">
        <v>1</v>
      </c>
      <c r="G683">
        <v>3528.99</v>
      </c>
      <c r="H683">
        <v>15</v>
      </c>
      <c r="I683" t="str">
        <f>IF(Sales[[#This Row],[Discount]]&lt;=10,"0-10%",IF(Sales[[#This Row],[Discount]]&lt;=20,"10-20%","20-30%"))</f>
        <v>10-20%</v>
      </c>
      <c r="J683">
        <v>1934.4</v>
      </c>
      <c r="K683" t="s">
        <v>261</v>
      </c>
      <c r="L683" t="s">
        <v>263</v>
      </c>
      <c r="M683">
        <f t="shared" si="70"/>
        <v>1934.4</v>
      </c>
      <c r="N683">
        <f t="shared" si="71"/>
        <v>2999.6414999999997</v>
      </c>
      <c r="O683">
        <f t="shared" si="72"/>
        <v>1065.2414999999996</v>
      </c>
      <c r="P683" s="2">
        <f t="shared" si="73"/>
        <v>0.35512293719099425</v>
      </c>
      <c r="Q683" t="str">
        <f t="shared" si="74"/>
        <v>Weekend</v>
      </c>
      <c r="R683" t="str">
        <f t="shared" si="75"/>
        <v>Dec</v>
      </c>
      <c r="S683">
        <f t="shared" si="76"/>
        <v>2024</v>
      </c>
    </row>
    <row r="684" spans="1:19" x14ac:dyDescent="0.25">
      <c r="A684">
        <v>100682</v>
      </c>
      <c r="B684" s="1">
        <v>45161</v>
      </c>
      <c r="C684" t="s">
        <v>42</v>
      </c>
      <c r="D684" t="s">
        <v>112</v>
      </c>
      <c r="E684" t="s">
        <v>256</v>
      </c>
      <c r="F684">
        <v>3</v>
      </c>
      <c r="G684">
        <v>320.51</v>
      </c>
      <c r="H684">
        <v>30</v>
      </c>
      <c r="I684" t="str">
        <f>IF(Sales[[#This Row],[Discount]]&lt;=10,"0-10%",IF(Sales[[#This Row],[Discount]]&lt;=20,"10-20%","20-30%"))</f>
        <v>20-30%</v>
      </c>
      <c r="J684">
        <v>144.26</v>
      </c>
      <c r="K684" t="s">
        <v>268</v>
      </c>
      <c r="L684" t="s">
        <v>266</v>
      </c>
      <c r="M684">
        <f t="shared" si="70"/>
        <v>432.78</v>
      </c>
      <c r="N684">
        <f t="shared" si="71"/>
        <v>673.07099999999991</v>
      </c>
      <c r="O684">
        <f t="shared" si="72"/>
        <v>240.29099999999994</v>
      </c>
      <c r="P684" s="2">
        <f t="shared" si="73"/>
        <v>0.35700691308940657</v>
      </c>
      <c r="Q684" t="str">
        <f t="shared" si="74"/>
        <v>Weekday</v>
      </c>
      <c r="R684" t="str">
        <f t="shared" si="75"/>
        <v>Aug</v>
      </c>
      <c r="S684">
        <f t="shared" si="76"/>
        <v>2023</v>
      </c>
    </row>
    <row r="685" spans="1:19" x14ac:dyDescent="0.25">
      <c r="A685">
        <v>100683</v>
      </c>
      <c r="B685" s="1">
        <v>45378</v>
      </c>
      <c r="C685" t="s">
        <v>21</v>
      </c>
      <c r="D685" t="s">
        <v>78</v>
      </c>
      <c r="E685" t="s">
        <v>255</v>
      </c>
      <c r="F685">
        <v>1</v>
      </c>
      <c r="G685">
        <v>4840.42</v>
      </c>
      <c r="H685">
        <v>30</v>
      </c>
      <c r="I685" t="str">
        <f>IF(Sales[[#This Row],[Discount]]&lt;=10,"0-10%",IF(Sales[[#This Row],[Discount]]&lt;=20,"10-20%","20-30%"))</f>
        <v>20-30%</v>
      </c>
      <c r="J685">
        <v>3041.29</v>
      </c>
      <c r="K685" t="s">
        <v>262</v>
      </c>
      <c r="L685" t="s">
        <v>265</v>
      </c>
      <c r="M685">
        <f t="shared" si="70"/>
        <v>3041.29</v>
      </c>
      <c r="N685">
        <f t="shared" si="71"/>
        <v>3388.2939999999999</v>
      </c>
      <c r="O685">
        <f t="shared" si="72"/>
        <v>347.00399999999991</v>
      </c>
      <c r="P685" s="2">
        <f t="shared" si="73"/>
        <v>0.10241260055945556</v>
      </c>
      <c r="Q685" t="str">
        <f t="shared" si="74"/>
        <v>Weekday</v>
      </c>
      <c r="R685" t="str">
        <f t="shared" si="75"/>
        <v>Mar</v>
      </c>
      <c r="S685">
        <f t="shared" si="76"/>
        <v>2024</v>
      </c>
    </row>
    <row r="686" spans="1:19" x14ac:dyDescent="0.25">
      <c r="A686">
        <v>100684</v>
      </c>
      <c r="B686" s="1">
        <v>45649</v>
      </c>
      <c r="C686" t="s">
        <v>36</v>
      </c>
      <c r="D686" t="s">
        <v>246</v>
      </c>
      <c r="E686" t="s">
        <v>254</v>
      </c>
      <c r="F686">
        <v>1</v>
      </c>
      <c r="G686">
        <v>1700.85</v>
      </c>
      <c r="H686">
        <v>30</v>
      </c>
      <c r="I686" t="str">
        <f>IF(Sales[[#This Row],[Discount]]&lt;=10,"0-10%",IF(Sales[[#This Row],[Discount]]&lt;=20,"10-20%","20-30%"))</f>
        <v>20-30%</v>
      </c>
      <c r="J686">
        <v>734.1</v>
      </c>
      <c r="K686" t="s">
        <v>261</v>
      </c>
      <c r="L686" t="s">
        <v>266</v>
      </c>
      <c r="M686">
        <f t="shared" si="70"/>
        <v>734.1</v>
      </c>
      <c r="N686">
        <f t="shared" si="71"/>
        <v>1190.5949999999998</v>
      </c>
      <c r="O686">
        <f t="shared" si="72"/>
        <v>456.49499999999978</v>
      </c>
      <c r="P686" s="2">
        <f t="shared" si="73"/>
        <v>0.38341753493001385</v>
      </c>
      <c r="Q686" t="str">
        <f t="shared" si="74"/>
        <v>Weekday</v>
      </c>
      <c r="R686" t="str">
        <f t="shared" si="75"/>
        <v>Dec</v>
      </c>
      <c r="S686">
        <f t="shared" si="76"/>
        <v>2024</v>
      </c>
    </row>
    <row r="687" spans="1:19" x14ac:dyDescent="0.25">
      <c r="A687">
        <v>100685</v>
      </c>
      <c r="B687" s="1">
        <v>45230</v>
      </c>
      <c r="C687" t="s">
        <v>42</v>
      </c>
      <c r="D687" t="s">
        <v>87</v>
      </c>
      <c r="E687" t="s">
        <v>258</v>
      </c>
      <c r="F687">
        <v>1</v>
      </c>
      <c r="G687">
        <v>526.47</v>
      </c>
      <c r="H687">
        <v>0</v>
      </c>
      <c r="I687" t="str">
        <f>IF(Sales[[#This Row],[Discount]]&lt;=10,"0-10%",IF(Sales[[#This Row],[Discount]]&lt;=20,"10-20%","20-30%"))</f>
        <v>0-10%</v>
      </c>
      <c r="J687">
        <v>267.45</v>
      </c>
      <c r="K687" t="s">
        <v>268</v>
      </c>
      <c r="L687" t="s">
        <v>265</v>
      </c>
      <c r="M687">
        <f t="shared" si="70"/>
        <v>267.45</v>
      </c>
      <c r="N687">
        <f t="shared" si="71"/>
        <v>526.47</v>
      </c>
      <c r="O687">
        <f t="shared" si="72"/>
        <v>259.02000000000004</v>
      </c>
      <c r="P687" s="2">
        <f t="shared" si="73"/>
        <v>0.49199384580317973</v>
      </c>
      <c r="Q687" t="str">
        <f t="shared" si="74"/>
        <v>Weekday</v>
      </c>
      <c r="R687" t="str">
        <f t="shared" si="75"/>
        <v>Oct</v>
      </c>
      <c r="S687">
        <f t="shared" si="76"/>
        <v>2023</v>
      </c>
    </row>
    <row r="688" spans="1:19" x14ac:dyDescent="0.25">
      <c r="A688">
        <v>100686</v>
      </c>
      <c r="B688" s="1">
        <v>45422</v>
      </c>
      <c r="C688" t="s">
        <v>50</v>
      </c>
      <c r="D688" t="s">
        <v>253</v>
      </c>
      <c r="E688" t="s">
        <v>255</v>
      </c>
      <c r="F688">
        <v>4</v>
      </c>
      <c r="G688">
        <v>4369.3500000000004</v>
      </c>
      <c r="H688">
        <v>5</v>
      </c>
      <c r="I688" t="str">
        <f>IF(Sales[[#This Row],[Discount]]&lt;=10,"0-10%",IF(Sales[[#This Row],[Discount]]&lt;=20,"10-20%","20-30%"))</f>
        <v>0-10%</v>
      </c>
      <c r="J688">
        <v>2371.64</v>
      </c>
      <c r="K688" t="s">
        <v>268</v>
      </c>
      <c r="L688" t="s">
        <v>266</v>
      </c>
      <c r="M688">
        <f t="shared" si="70"/>
        <v>9486.56</v>
      </c>
      <c r="N688">
        <f t="shared" si="71"/>
        <v>16603.53</v>
      </c>
      <c r="O688">
        <f t="shared" si="72"/>
        <v>7116.9699999999993</v>
      </c>
      <c r="P688" s="2">
        <f t="shared" si="73"/>
        <v>0.42864198155452482</v>
      </c>
      <c r="Q688" t="str">
        <f t="shared" si="74"/>
        <v>Weekday</v>
      </c>
      <c r="R688" t="str">
        <f t="shared" si="75"/>
        <v>May</v>
      </c>
      <c r="S688">
        <f t="shared" si="76"/>
        <v>2024</v>
      </c>
    </row>
    <row r="689" spans="1:19" x14ac:dyDescent="0.25">
      <c r="A689">
        <v>100687</v>
      </c>
      <c r="B689" s="1">
        <v>45381</v>
      </c>
      <c r="C689" t="s">
        <v>27</v>
      </c>
      <c r="D689" t="s">
        <v>112</v>
      </c>
      <c r="E689" t="s">
        <v>255</v>
      </c>
      <c r="F689">
        <v>4</v>
      </c>
      <c r="G689">
        <v>2032.92</v>
      </c>
      <c r="H689">
        <v>5</v>
      </c>
      <c r="I689" t="str">
        <f>IF(Sales[[#This Row],[Discount]]&lt;=10,"0-10%",IF(Sales[[#This Row],[Discount]]&lt;=20,"10-20%","20-30%"))</f>
        <v>0-10%</v>
      </c>
      <c r="J689">
        <v>1038.71</v>
      </c>
      <c r="K689" t="s">
        <v>262</v>
      </c>
      <c r="L689" t="s">
        <v>267</v>
      </c>
      <c r="M689">
        <f t="shared" si="70"/>
        <v>4154.84</v>
      </c>
      <c r="N689">
        <f t="shared" si="71"/>
        <v>7725.0959999999995</v>
      </c>
      <c r="O689">
        <f t="shared" si="72"/>
        <v>3570.2559999999994</v>
      </c>
      <c r="P689" s="2">
        <f t="shared" si="73"/>
        <v>0.46216331809986566</v>
      </c>
      <c r="Q689" t="str">
        <f t="shared" si="74"/>
        <v>Weekend</v>
      </c>
      <c r="R689" t="str">
        <f t="shared" si="75"/>
        <v>Mar</v>
      </c>
      <c r="S689">
        <f t="shared" si="76"/>
        <v>2024</v>
      </c>
    </row>
    <row r="690" spans="1:19" x14ac:dyDescent="0.25">
      <c r="A690">
        <v>100688</v>
      </c>
      <c r="B690" s="1">
        <v>45454</v>
      </c>
      <c r="C690" t="s">
        <v>42</v>
      </c>
      <c r="D690" t="s">
        <v>121</v>
      </c>
      <c r="E690" t="s">
        <v>258</v>
      </c>
      <c r="F690">
        <v>2</v>
      </c>
      <c r="G690">
        <v>2894.73</v>
      </c>
      <c r="H690">
        <v>15</v>
      </c>
      <c r="I690" t="str">
        <f>IF(Sales[[#This Row],[Discount]]&lt;=10,"0-10%",IF(Sales[[#This Row],[Discount]]&lt;=20,"10-20%","20-30%"))</f>
        <v>10-20%</v>
      </c>
      <c r="J690">
        <v>1518.98</v>
      </c>
      <c r="K690" t="s">
        <v>261</v>
      </c>
      <c r="L690" t="s">
        <v>266</v>
      </c>
      <c r="M690">
        <f t="shared" si="70"/>
        <v>3037.96</v>
      </c>
      <c r="N690">
        <f t="shared" si="71"/>
        <v>4921.0410000000002</v>
      </c>
      <c r="O690">
        <f t="shared" si="72"/>
        <v>1883.0810000000001</v>
      </c>
      <c r="P690" s="2">
        <f t="shared" si="73"/>
        <v>0.38265907558990059</v>
      </c>
      <c r="Q690" t="str">
        <f t="shared" si="74"/>
        <v>Weekday</v>
      </c>
      <c r="R690" t="str">
        <f t="shared" si="75"/>
        <v>Jun</v>
      </c>
      <c r="S690">
        <f t="shared" si="76"/>
        <v>2024</v>
      </c>
    </row>
    <row r="691" spans="1:19" x14ac:dyDescent="0.25">
      <c r="A691">
        <v>100689</v>
      </c>
      <c r="B691" s="1">
        <v>45026</v>
      </c>
      <c r="C691" t="s">
        <v>15</v>
      </c>
      <c r="D691" t="s">
        <v>140</v>
      </c>
      <c r="E691" t="s">
        <v>260</v>
      </c>
      <c r="F691">
        <v>1</v>
      </c>
      <c r="G691">
        <v>4387.8900000000003</v>
      </c>
      <c r="H691">
        <v>25</v>
      </c>
      <c r="I691" t="str">
        <f>IF(Sales[[#This Row],[Discount]]&lt;=10,"0-10%",IF(Sales[[#This Row],[Discount]]&lt;=20,"10-20%","20-30%"))</f>
        <v>20-30%</v>
      </c>
      <c r="J691">
        <v>2716.76</v>
      </c>
      <c r="K691" t="s">
        <v>262</v>
      </c>
      <c r="L691" t="s">
        <v>264</v>
      </c>
      <c r="M691">
        <f t="shared" si="70"/>
        <v>2716.76</v>
      </c>
      <c r="N691">
        <f t="shared" si="71"/>
        <v>3290.9175000000005</v>
      </c>
      <c r="O691">
        <f t="shared" si="72"/>
        <v>574.15750000000025</v>
      </c>
      <c r="P691" s="2">
        <f t="shared" si="73"/>
        <v>0.17446730281145004</v>
      </c>
      <c r="Q691" t="str">
        <f t="shared" si="74"/>
        <v>Weekday</v>
      </c>
      <c r="R691" t="str">
        <f t="shared" si="75"/>
        <v>Apr</v>
      </c>
      <c r="S691">
        <f t="shared" si="76"/>
        <v>2023</v>
      </c>
    </row>
    <row r="692" spans="1:19" x14ac:dyDescent="0.25">
      <c r="A692">
        <v>100690</v>
      </c>
      <c r="B692" s="1">
        <v>45654</v>
      </c>
      <c r="C692" t="s">
        <v>57</v>
      </c>
      <c r="D692" t="s">
        <v>118</v>
      </c>
      <c r="E692" t="s">
        <v>254</v>
      </c>
      <c r="F692">
        <v>3</v>
      </c>
      <c r="G692">
        <v>3156.43</v>
      </c>
      <c r="H692">
        <v>0</v>
      </c>
      <c r="I692" t="str">
        <f>IF(Sales[[#This Row],[Discount]]&lt;=10,"0-10%",IF(Sales[[#This Row],[Discount]]&lt;=20,"10-20%","20-30%"))</f>
        <v>0-10%</v>
      </c>
      <c r="J692">
        <v>1542.2</v>
      </c>
      <c r="K692" t="s">
        <v>262</v>
      </c>
      <c r="L692" t="s">
        <v>265</v>
      </c>
      <c r="M692">
        <f t="shared" si="70"/>
        <v>4626.6000000000004</v>
      </c>
      <c r="N692">
        <f t="shared" si="71"/>
        <v>9469.2899999999991</v>
      </c>
      <c r="O692">
        <f t="shared" si="72"/>
        <v>4842.6899999999987</v>
      </c>
      <c r="P692" s="2">
        <f t="shared" si="73"/>
        <v>0.51141004235798027</v>
      </c>
      <c r="Q692" t="str">
        <f t="shared" si="74"/>
        <v>Weekend</v>
      </c>
      <c r="R692" t="str">
        <f t="shared" si="75"/>
        <v>Dec</v>
      </c>
      <c r="S692">
        <f t="shared" si="76"/>
        <v>2024</v>
      </c>
    </row>
    <row r="693" spans="1:19" x14ac:dyDescent="0.25">
      <c r="A693">
        <v>100691</v>
      </c>
      <c r="B693" s="1">
        <v>45252</v>
      </c>
      <c r="C693" t="s">
        <v>33</v>
      </c>
      <c r="D693" t="s">
        <v>69</v>
      </c>
      <c r="E693" t="s">
        <v>257</v>
      </c>
      <c r="F693">
        <v>3</v>
      </c>
      <c r="G693">
        <v>890.9</v>
      </c>
      <c r="H693">
        <v>5</v>
      </c>
      <c r="I693" t="str">
        <f>IF(Sales[[#This Row],[Discount]]&lt;=10,"0-10%",IF(Sales[[#This Row],[Discount]]&lt;=20,"10-20%","20-30%"))</f>
        <v>0-10%</v>
      </c>
      <c r="J693">
        <v>553.36</v>
      </c>
      <c r="K693" t="s">
        <v>261</v>
      </c>
      <c r="L693" t="s">
        <v>265</v>
      </c>
      <c r="M693">
        <f t="shared" si="70"/>
        <v>1660.08</v>
      </c>
      <c r="N693">
        <f t="shared" si="71"/>
        <v>2539.0649999999996</v>
      </c>
      <c r="O693">
        <f t="shared" si="72"/>
        <v>878.98499999999967</v>
      </c>
      <c r="P693" s="2">
        <f t="shared" si="73"/>
        <v>0.3461845206798565</v>
      </c>
      <c r="Q693" t="str">
        <f t="shared" si="74"/>
        <v>Weekday</v>
      </c>
      <c r="R693" t="str">
        <f t="shared" si="75"/>
        <v>Nov</v>
      </c>
      <c r="S693">
        <f t="shared" si="76"/>
        <v>2023</v>
      </c>
    </row>
    <row r="694" spans="1:19" x14ac:dyDescent="0.25">
      <c r="A694">
        <v>100692</v>
      </c>
      <c r="B694" s="1">
        <v>44991</v>
      </c>
      <c r="C694" t="s">
        <v>25</v>
      </c>
      <c r="D694" t="s">
        <v>226</v>
      </c>
      <c r="E694" t="s">
        <v>255</v>
      </c>
      <c r="F694">
        <v>1</v>
      </c>
      <c r="G694">
        <v>3506.31</v>
      </c>
      <c r="H694">
        <v>5</v>
      </c>
      <c r="I694" t="str">
        <f>IF(Sales[[#This Row],[Discount]]&lt;=10,"0-10%",IF(Sales[[#This Row],[Discount]]&lt;=20,"10-20%","20-30%"))</f>
        <v>0-10%</v>
      </c>
      <c r="J694">
        <v>1894.97</v>
      </c>
      <c r="K694" t="s">
        <v>261</v>
      </c>
      <c r="L694" t="s">
        <v>265</v>
      </c>
      <c r="M694">
        <f t="shared" si="70"/>
        <v>1894.97</v>
      </c>
      <c r="N694">
        <f t="shared" si="71"/>
        <v>3330.9944999999998</v>
      </c>
      <c r="O694">
        <f t="shared" si="72"/>
        <v>1436.0244999999998</v>
      </c>
      <c r="P694" s="2">
        <f t="shared" si="73"/>
        <v>0.4311098382179856</v>
      </c>
      <c r="Q694" t="str">
        <f t="shared" si="74"/>
        <v>Weekday</v>
      </c>
      <c r="R694" t="str">
        <f t="shared" si="75"/>
        <v>Mar</v>
      </c>
      <c r="S694">
        <f t="shared" si="76"/>
        <v>2023</v>
      </c>
    </row>
    <row r="695" spans="1:19" x14ac:dyDescent="0.25">
      <c r="A695">
        <v>100693</v>
      </c>
      <c r="B695" s="1">
        <v>45239</v>
      </c>
      <c r="C695" t="s">
        <v>52</v>
      </c>
      <c r="D695" t="s">
        <v>220</v>
      </c>
      <c r="E695" t="s">
        <v>254</v>
      </c>
      <c r="F695">
        <v>1</v>
      </c>
      <c r="G695">
        <v>1650.83</v>
      </c>
      <c r="H695">
        <v>30</v>
      </c>
      <c r="I695" t="str">
        <f>IF(Sales[[#This Row],[Discount]]&lt;=10,"0-10%",IF(Sales[[#This Row],[Discount]]&lt;=20,"10-20%","20-30%"))</f>
        <v>20-30%</v>
      </c>
      <c r="J695">
        <v>842.48</v>
      </c>
      <c r="K695" t="s">
        <v>262</v>
      </c>
      <c r="L695" t="s">
        <v>266</v>
      </c>
      <c r="M695">
        <f t="shared" si="70"/>
        <v>842.48</v>
      </c>
      <c r="N695">
        <f t="shared" si="71"/>
        <v>1155.5809999999999</v>
      </c>
      <c r="O695">
        <f t="shared" si="72"/>
        <v>313.10099999999989</v>
      </c>
      <c r="P695" s="2">
        <f t="shared" si="73"/>
        <v>0.27094682242092932</v>
      </c>
      <c r="Q695" t="str">
        <f t="shared" si="74"/>
        <v>Weekday</v>
      </c>
      <c r="R695" t="str">
        <f t="shared" si="75"/>
        <v>Nov</v>
      </c>
      <c r="S695">
        <f t="shared" si="76"/>
        <v>2023</v>
      </c>
    </row>
    <row r="696" spans="1:19" x14ac:dyDescent="0.25">
      <c r="A696">
        <v>100694</v>
      </c>
      <c r="B696" s="1">
        <v>44979</v>
      </c>
      <c r="C696" t="s">
        <v>18</v>
      </c>
      <c r="D696" t="s">
        <v>184</v>
      </c>
      <c r="E696" t="s">
        <v>259</v>
      </c>
      <c r="F696">
        <v>2</v>
      </c>
      <c r="G696">
        <v>3975.47</v>
      </c>
      <c r="H696">
        <v>10</v>
      </c>
      <c r="I696" t="str">
        <f>IF(Sales[[#This Row],[Discount]]&lt;=10,"0-10%",IF(Sales[[#This Row],[Discount]]&lt;=20,"10-20%","20-30%"))</f>
        <v>0-10%</v>
      </c>
      <c r="J696">
        <v>2238.75</v>
      </c>
      <c r="K696" t="s">
        <v>268</v>
      </c>
      <c r="L696" t="s">
        <v>266</v>
      </c>
      <c r="M696">
        <f t="shared" si="70"/>
        <v>4477.5</v>
      </c>
      <c r="N696">
        <f t="shared" si="71"/>
        <v>7155.8459999999995</v>
      </c>
      <c r="O696">
        <f t="shared" si="72"/>
        <v>2678.3459999999995</v>
      </c>
      <c r="P696" s="2">
        <f t="shared" si="73"/>
        <v>0.37428782005649641</v>
      </c>
      <c r="Q696" t="str">
        <f t="shared" si="74"/>
        <v>Weekday</v>
      </c>
      <c r="R696" t="str">
        <f t="shared" si="75"/>
        <v>Feb</v>
      </c>
      <c r="S696">
        <f t="shared" si="76"/>
        <v>2023</v>
      </c>
    </row>
    <row r="697" spans="1:19" x14ac:dyDescent="0.25">
      <c r="A697">
        <v>100695</v>
      </c>
      <c r="B697" s="1">
        <v>45324</v>
      </c>
      <c r="C697" t="s">
        <v>19</v>
      </c>
      <c r="D697" t="s">
        <v>199</v>
      </c>
      <c r="E697" t="s">
        <v>258</v>
      </c>
      <c r="F697">
        <v>2</v>
      </c>
      <c r="G697">
        <v>1436.88</v>
      </c>
      <c r="H697">
        <v>20</v>
      </c>
      <c r="I697" t="str">
        <f>IF(Sales[[#This Row],[Discount]]&lt;=10,"0-10%",IF(Sales[[#This Row],[Discount]]&lt;=20,"10-20%","20-30%"))</f>
        <v>10-20%</v>
      </c>
      <c r="J697">
        <v>967.48</v>
      </c>
      <c r="K697" t="s">
        <v>268</v>
      </c>
      <c r="L697" t="s">
        <v>263</v>
      </c>
      <c r="M697">
        <f t="shared" si="70"/>
        <v>1934.96</v>
      </c>
      <c r="N697">
        <f t="shared" si="71"/>
        <v>2299.0080000000003</v>
      </c>
      <c r="O697">
        <f t="shared" si="72"/>
        <v>364.04800000000023</v>
      </c>
      <c r="P697" s="2">
        <f t="shared" si="73"/>
        <v>0.15835003618952181</v>
      </c>
      <c r="Q697" t="str">
        <f t="shared" si="74"/>
        <v>Weekday</v>
      </c>
      <c r="R697" t="str">
        <f t="shared" si="75"/>
        <v>Feb</v>
      </c>
      <c r="S697">
        <f t="shared" si="76"/>
        <v>2024</v>
      </c>
    </row>
    <row r="698" spans="1:19" x14ac:dyDescent="0.25">
      <c r="A698">
        <v>100696</v>
      </c>
      <c r="B698" s="1">
        <v>44943</v>
      </c>
      <c r="C698" t="s">
        <v>30</v>
      </c>
      <c r="D698" t="s">
        <v>129</v>
      </c>
      <c r="E698" t="s">
        <v>254</v>
      </c>
      <c r="F698">
        <v>3</v>
      </c>
      <c r="G698">
        <v>2616.46</v>
      </c>
      <c r="H698">
        <v>0</v>
      </c>
      <c r="I698" t="str">
        <f>IF(Sales[[#This Row],[Discount]]&lt;=10,"0-10%",IF(Sales[[#This Row],[Discount]]&lt;=20,"10-20%","20-30%"))</f>
        <v>0-10%</v>
      </c>
      <c r="J698">
        <v>1363.93</v>
      </c>
      <c r="K698" t="s">
        <v>261</v>
      </c>
      <c r="L698" t="s">
        <v>263</v>
      </c>
      <c r="M698">
        <f t="shared" si="70"/>
        <v>4091.79</v>
      </c>
      <c r="N698">
        <f t="shared" si="71"/>
        <v>7849.38</v>
      </c>
      <c r="O698">
        <f t="shared" si="72"/>
        <v>3757.59</v>
      </c>
      <c r="P698" s="2">
        <f t="shared" si="73"/>
        <v>0.47871169442682099</v>
      </c>
      <c r="Q698" t="str">
        <f t="shared" si="74"/>
        <v>Weekday</v>
      </c>
      <c r="R698" t="str">
        <f t="shared" si="75"/>
        <v>Jan</v>
      </c>
      <c r="S698">
        <f t="shared" si="76"/>
        <v>2023</v>
      </c>
    </row>
    <row r="699" spans="1:19" x14ac:dyDescent="0.25">
      <c r="A699">
        <v>100697</v>
      </c>
      <c r="B699" s="1">
        <v>45335</v>
      </c>
      <c r="C699" t="s">
        <v>49</v>
      </c>
      <c r="D699" t="s">
        <v>200</v>
      </c>
      <c r="E699" t="s">
        <v>259</v>
      </c>
      <c r="F699">
        <v>2</v>
      </c>
      <c r="G699">
        <v>1553.37</v>
      </c>
      <c r="H699">
        <v>30</v>
      </c>
      <c r="I699" t="str">
        <f>IF(Sales[[#This Row],[Discount]]&lt;=10,"0-10%",IF(Sales[[#This Row],[Discount]]&lt;=20,"10-20%","20-30%"))</f>
        <v>20-30%</v>
      </c>
      <c r="J699">
        <v>959.14</v>
      </c>
      <c r="K699" t="s">
        <v>268</v>
      </c>
      <c r="L699" t="s">
        <v>265</v>
      </c>
      <c r="M699">
        <f t="shared" si="70"/>
        <v>1918.28</v>
      </c>
      <c r="N699">
        <f t="shared" si="71"/>
        <v>2174.7179999999998</v>
      </c>
      <c r="O699">
        <f t="shared" si="72"/>
        <v>256.43799999999987</v>
      </c>
      <c r="P699" s="2">
        <f t="shared" si="73"/>
        <v>0.11791781739057657</v>
      </c>
      <c r="Q699" t="str">
        <f t="shared" si="74"/>
        <v>Weekday</v>
      </c>
      <c r="R699" t="str">
        <f t="shared" si="75"/>
        <v>Feb</v>
      </c>
      <c r="S699">
        <f t="shared" si="76"/>
        <v>2024</v>
      </c>
    </row>
    <row r="700" spans="1:19" x14ac:dyDescent="0.25">
      <c r="A700">
        <v>100698</v>
      </c>
      <c r="B700" s="1">
        <v>45045</v>
      </c>
      <c r="C700" t="s">
        <v>14</v>
      </c>
      <c r="D700" t="s">
        <v>224</v>
      </c>
      <c r="E700" t="s">
        <v>255</v>
      </c>
      <c r="F700">
        <v>4</v>
      </c>
      <c r="G700">
        <v>2168.94</v>
      </c>
      <c r="H700">
        <v>0</v>
      </c>
      <c r="I700" t="str">
        <f>IF(Sales[[#This Row],[Discount]]&lt;=10,"0-10%",IF(Sales[[#This Row],[Discount]]&lt;=20,"10-20%","20-30%"))</f>
        <v>0-10%</v>
      </c>
      <c r="J700">
        <v>1363.6</v>
      </c>
      <c r="K700" t="s">
        <v>262</v>
      </c>
      <c r="L700" t="s">
        <v>263</v>
      </c>
      <c r="M700">
        <f t="shared" si="70"/>
        <v>5454.4</v>
      </c>
      <c r="N700">
        <f t="shared" si="71"/>
        <v>8675.76</v>
      </c>
      <c r="O700">
        <f t="shared" si="72"/>
        <v>3221.3600000000006</v>
      </c>
      <c r="P700" s="2">
        <f t="shared" si="73"/>
        <v>0.37130579914612671</v>
      </c>
      <c r="Q700" t="str">
        <f t="shared" si="74"/>
        <v>Weekend</v>
      </c>
      <c r="R700" t="str">
        <f t="shared" si="75"/>
        <v>Apr</v>
      </c>
      <c r="S700">
        <f t="shared" si="76"/>
        <v>2023</v>
      </c>
    </row>
    <row r="701" spans="1:19" x14ac:dyDescent="0.25">
      <c r="A701">
        <v>100699</v>
      </c>
      <c r="B701" s="1">
        <v>45624</v>
      </c>
      <c r="C701" t="s">
        <v>40</v>
      </c>
      <c r="D701" t="s">
        <v>106</v>
      </c>
      <c r="E701" t="s">
        <v>254</v>
      </c>
      <c r="F701">
        <v>4</v>
      </c>
      <c r="G701">
        <v>3932.73</v>
      </c>
      <c r="H701">
        <v>15</v>
      </c>
      <c r="I701" t="str">
        <f>IF(Sales[[#This Row],[Discount]]&lt;=10,"0-10%",IF(Sales[[#This Row],[Discount]]&lt;=20,"10-20%","20-30%"))</f>
        <v>10-20%</v>
      </c>
      <c r="J701">
        <v>2188.13</v>
      </c>
      <c r="K701" t="s">
        <v>261</v>
      </c>
      <c r="L701" t="s">
        <v>265</v>
      </c>
      <c r="M701">
        <f t="shared" si="70"/>
        <v>8752.52</v>
      </c>
      <c r="N701">
        <f t="shared" si="71"/>
        <v>13371.281999999999</v>
      </c>
      <c r="O701">
        <f t="shared" si="72"/>
        <v>4618.7619999999988</v>
      </c>
      <c r="P701" s="2">
        <f t="shared" si="73"/>
        <v>0.3454240214214313</v>
      </c>
      <c r="Q701" t="str">
        <f t="shared" si="74"/>
        <v>Weekday</v>
      </c>
      <c r="R701" t="str">
        <f t="shared" si="75"/>
        <v>Nov</v>
      </c>
      <c r="S701">
        <f t="shared" si="76"/>
        <v>2024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336C-AF31-4059-8DAC-D2F6CDD55F5C}">
  <dimension ref="A1:C6"/>
  <sheetViews>
    <sheetView workbookViewId="0">
      <selection activeCell="D29" sqref="D29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3.42578125" bestFit="1" customWidth="1"/>
    <col min="4" max="4" width="15.42578125" bestFit="1" customWidth="1"/>
  </cols>
  <sheetData>
    <row r="1" spans="1:3" ht="18.75" x14ac:dyDescent="0.3">
      <c r="A1" s="8" t="s">
        <v>282</v>
      </c>
    </row>
    <row r="3" spans="1:3" x14ac:dyDescent="0.25">
      <c r="A3" s="5" t="s">
        <v>276</v>
      </c>
      <c r="B3" t="s">
        <v>280</v>
      </c>
      <c r="C3" t="s">
        <v>281</v>
      </c>
    </row>
    <row r="4" spans="1:3" x14ac:dyDescent="0.25">
      <c r="A4" s="6" t="s">
        <v>277</v>
      </c>
      <c r="B4" s="7">
        <v>3018765.2055000002</v>
      </c>
      <c r="C4" s="7">
        <v>1080732.4555000006</v>
      </c>
    </row>
    <row r="5" spans="1:3" x14ac:dyDescent="0.25">
      <c r="A5" s="6" t="s">
        <v>278</v>
      </c>
      <c r="B5" s="7">
        <v>1117690.9455000001</v>
      </c>
      <c r="C5" s="7">
        <v>419507.16550000006</v>
      </c>
    </row>
    <row r="6" spans="1:3" x14ac:dyDescent="0.25">
      <c r="A6" s="6" t="s">
        <v>279</v>
      </c>
      <c r="B6" s="7">
        <v>4136456.1510000005</v>
      </c>
      <c r="C6" s="7">
        <v>1500239.6210000007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Revneue by Product catgory</vt:lpstr>
      <vt:lpstr>Revenue vs Profit vs Margin</vt:lpstr>
      <vt:lpstr>Discount Brand vs Profir Margin</vt:lpstr>
      <vt:lpstr>Reveneue by Month &amp; Year</vt:lpstr>
      <vt:lpstr>Top 10 Revenue stores</vt:lpstr>
      <vt:lpstr>Sheet8</vt:lpstr>
      <vt:lpstr>Sheet1</vt:lpstr>
      <vt:lpstr>Sales Comparision by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Pramitava Das [MBA - 2023]</cp:lastModifiedBy>
  <dcterms:created xsi:type="dcterms:W3CDTF">2026-03-10T16:36:02Z</dcterms:created>
  <dcterms:modified xsi:type="dcterms:W3CDTF">2026-03-14T19:48:47Z</dcterms:modified>
</cp:coreProperties>
</file>